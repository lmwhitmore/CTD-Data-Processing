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NABOS\Data\Hydrochemistry\2023\"/>
    </mc:Choice>
  </mc:AlternateContent>
  <xr:revisionPtr revIDLastSave="0" documentId="13_ncr:1_{A5168A90-38D6-49DA-AE0D-822506BDC78C}" xr6:coauthVersionLast="47" xr6:coauthVersionMax="47" xr10:uidLastSave="{00000000-0000-0000-0000-000000000000}"/>
  <bookViews>
    <workbookView xWindow="-96" yWindow="0" windowWidth="12126" windowHeight="13758" activeTab="1" xr2:uid="{00000000-000D-0000-FFFF-FFFF00000000}"/>
  </bookViews>
  <sheets>
    <sheet name="plan" sheetId="1" r:id="rId1"/>
    <sheet name="Bottle Log" sheetId="2" r:id="rId2"/>
    <sheet name="Cast Conditions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2" l="1"/>
  <c r="W8" i="2"/>
  <c r="U22" i="2"/>
  <c r="U5" i="2"/>
  <c r="U19" i="2"/>
  <c r="U13" i="2"/>
  <c r="V11" i="2"/>
  <c r="U11" i="2"/>
  <c r="V9" i="2"/>
  <c r="U9" i="2"/>
  <c r="V7" i="2"/>
  <c r="U7" i="2"/>
  <c r="V5" i="2"/>
  <c r="V2" i="2"/>
  <c r="U2" i="2"/>
  <c r="C56" i="3"/>
  <c r="U58" i="3"/>
  <c r="C627" i="2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459" i="2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O26" i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25" i="1"/>
  <c r="C267" i="2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U17" i="2" l="1"/>
  <c r="C171" i="2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083" i="2"/>
  <c r="C1084" i="2" s="1"/>
  <c r="C1085" i="2" s="1"/>
  <c r="C1086" i="2" s="1"/>
  <c r="C1087" i="2" s="1"/>
  <c r="C1088" i="2" s="1"/>
  <c r="C1089" i="2" s="1"/>
  <c r="C1090" i="2" s="1"/>
  <c r="C1091" i="2" s="1"/>
  <c r="C1092" i="2" s="1"/>
  <c r="C1093" i="2" s="1"/>
  <c r="C1094" i="2" s="1"/>
  <c r="C1095" i="2" s="1"/>
  <c r="C1096" i="2" s="1"/>
  <c r="C1097" i="2" s="1"/>
  <c r="C1098" i="2" s="1"/>
  <c r="C1099" i="2" s="1"/>
  <c r="C1100" i="2" s="1"/>
  <c r="C1101" i="2" s="1"/>
  <c r="C1102" i="2" s="1"/>
  <c r="C1103" i="2" s="1"/>
  <c r="C1104" i="2" s="1"/>
  <c r="C1105" i="2" s="1"/>
  <c r="C1059" i="2"/>
  <c r="C1060" i="2" s="1"/>
  <c r="C1061" i="2" s="1"/>
  <c r="C1062" i="2" s="1"/>
  <c r="C1063" i="2" s="1"/>
  <c r="C1064" i="2" s="1"/>
  <c r="C1065" i="2" s="1"/>
  <c r="C1066" i="2" s="1"/>
  <c r="C1067" i="2" s="1"/>
  <c r="C1068" i="2" s="1"/>
  <c r="C1069" i="2" s="1"/>
  <c r="C1070" i="2" s="1"/>
  <c r="C1071" i="2" s="1"/>
  <c r="C1072" i="2" s="1"/>
  <c r="C1073" i="2" s="1"/>
  <c r="C1074" i="2" s="1"/>
  <c r="C1075" i="2" s="1"/>
  <c r="C1076" i="2" s="1"/>
  <c r="C1077" i="2" s="1"/>
  <c r="C1078" i="2" s="1"/>
  <c r="C1079" i="2" s="1"/>
  <c r="C1080" i="2" s="1"/>
  <c r="C1081" i="2" s="1"/>
  <c r="C1035" i="2"/>
  <c r="C1036" i="2" s="1"/>
  <c r="C1037" i="2" s="1"/>
  <c r="C1038" i="2" s="1"/>
  <c r="C1039" i="2" s="1"/>
  <c r="C1040" i="2" s="1"/>
  <c r="C1041" i="2" s="1"/>
  <c r="C1042" i="2" s="1"/>
  <c r="C1043" i="2" s="1"/>
  <c r="C1044" i="2" s="1"/>
  <c r="C1045" i="2" s="1"/>
  <c r="C1046" i="2" s="1"/>
  <c r="C1047" i="2" s="1"/>
  <c r="C1048" i="2" s="1"/>
  <c r="C1049" i="2" s="1"/>
  <c r="C1050" i="2" s="1"/>
  <c r="C1051" i="2" s="1"/>
  <c r="C1052" i="2" s="1"/>
  <c r="C1053" i="2" s="1"/>
  <c r="C1054" i="2" s="1"/>
  <c r="C1055" i="2" s="1"/>
  <c r="C1056" i="2" s="1"/>
  <c r="C1057" i="2" s="1"/>
  <c r="C1011" i="2"/>
  <c r="C1012" i="2" s="1"/>
  <c r="C1013" i="2" s="1"/>
  <c r="C1014" i="2" s="1"/>
  <c r="C1015" i="2" s="1"/>
  <c r="C1016" i="2" s="1"/>
  <c r="C1017" i="2" s="1"/>
  <c r="C1018" i="2" s="1"/>
  <c r="C1019" i="2" s="1"/>
  <c r="C1020" i="2" s="1"/>
  <c r="C1021" i="2" s="1"/>
  <c r="C1022" i="2" s="1"/>
  <c r="C1023" i="2" s="1"/>
  <c r="C1024" i="2" s="1"/>
  <c r="C1025" i="2" s="1"/>
  <c r="C1026" i="2" s="1"/>
  <c r="C1027" i="2" s="1"/>
  <c r="C1028" i="2" s="1"/>
  <c r="C1029" i="2" s="1"/>
  <c r="C1030" i="2" s="1"/>
  <c r="C1031" i="2" s="1"/>
  <c r="C1032" i="2" s="1"/>
  <c r="C1033" i="2" s="1"/>
  <c r="C987" i="2"/>
  <c r="C988" i="2" s="1"/>
  <c r="C989" i="2" s="1"/>
  <c r="C990" i="2" s="1"/>
  <c r="C991" i="2" s="1"/>
  <c r="C992" i="2" s="1"/>
  <c r="C993" i="2" s="1"/>
  <c r="C994" i="2" s="1"/>
  <c r="C995" i="2" s="1"/>
  <c r="C996" i="2" s="1"/>
  <c r="C997" i="2" s="1"/>
  <c r="C998" i="2" s="1"/>
  <c r="C999" i="2" s="1"/>
  <c r="C1000" i="2" s="1"/>
  <c r="C1001" i="2" s="1"/>
  <c r="C1002" i="2" s="1"/>
  <c r="C1003" i="2" s="1"/>
  <c r="C1004" i="2" s="1"/>
  <c r="C1005" i="2" s="1"/>
  <c r="C1006" i="2" s="1"/>
  <c r="C1007" i="2" s="1"/>
  <c r="C1008" i="2" s="1"/>
  <c r="C1009" i="2" s="1"/>
  <c r="C963" i="2"/>
  <c r="C964" i="2" s="1"/>
  <c r="C965" i="2" s="1"/>
  <c r="C966" i="2" s="1"/>
  <c r="C967" i="2" s="1"/>
  <c r="C968" i="2" s="1"/>
  <c r="C969" i="2" s="1"/>
  <c r="C970" i="2" s="1"/>
  <c r="C971" i="2" s="1"/>
  <c r="C972" i="2" s="1"/>
  <c r="C973" i="2" s="1"/>
  <c r="C974" i="2" s="1"/>
  <c r="C975" i="2" s="1"/>
  <c r="C976" i="2" s="1"/>
  <c r="C977" i="2" s="1"/>
  <c r="C978" i="2" s="1"/>
  <c r="C979" i="2" s="1"/>
  <c r="C980" i="2" s="1"/>
  <c r="C981" i="2" s="1"/>
  <c r="C982" i="2" s="1"/>
  <c r="C983" i="2" s="1"/>
  <c r="C984" i="2" s="1"/>
  <c r="C985" i="2" s="1"/>
  <c r="C939" i="2"/>
  <c r="C940" i="2" s="1"/>
  <c r="C941" i="2" s="1"/>
  <c r="C942" i="2" s="1"/>
  <c r="C943" i="2" s="1"/>
  <c r="C944" i="2" s="1"/>
  <c r="C945" i="2" s="1"/>
  <c r="C946" i="2" s="1"/>
  <c r="C947" i="2" s="1"/>
  <c r="C948" i="2" s="1"/>
  <c r="C949" i="2" s="1"/>
  <c r="C950" i="2" s="1"/>
  <c r="C951" i="2" s="1"/>
  <c r="C952" i="2" s="1"/>
  <c r="C953" i="2" s="1"/>
  <c r="C954" i="2" s="1"/>
  <c r="C955" i="2" s="1"/>
  <c r="C956" i="2" s="1"/>
  <c r="C957" i="2" s="1"/>
  <c r="C958" i="2" s="1"/>
  <c r="C959" i="2" s="1"/>
  <c r="C960" i="2" s="1"/>
  <c r="C961" i="2" s="1"/>
  <c r="C915" i="2"/>
  <c r="C916" i="2" s="1"/>
  <c r="C917" i="2" s="1"/>
  <c r="C918" i="2" s="1"/>
  <c r="C919" i="2" s="1"/>
  <c r="C920" i="2" s="1"/>
  <c r="C921" i="2" s="1"/>
  <c r="C922" i="2" s="1"/>
  <c r="C923" i="2" s="1"/>
  <c r="C924" i="2" s="1"/>
  <c r="C925" i="2" s="1"/>
  <c r="C926" i="2" s="1"/>
  <c r="C927" i="2" s="1"/>
  <c r="C928" i="2" s="1"/>
  <c r="C929" i="2" s="1"/>
  <c r="C930" i="2" s="1"/>
  <c r="C931" i="2" s="1"/>
  <c r="C932" i="2" s="1"/>
  <c r="C933" i="2" s="1"/>
  <c r="C934" i="2" s="1"/>
  <c r="C935" i="2" s="1"/>
  <c r="C936" i="2" s="1"/>
  <c r="C937" i="2" s="1"/>
  <c r="C891" i="2"/>
  <c r="C892" i="2" s="1"/>
  <c r="C893" i="2" s="1"/>
  <c r="C894" i="2" s="1"/>
  <c r="C895" i="2" s="1"/>
  <c r="C896" i="2" s="1"/>
  <c r="C897" i="2" s="1"/>
  <c r="C898" i="2" s="1"/>
  <c r="C899" i="2" s="1"/>
  <c r="C900" i="2" s="1"/>
  <c r="C901" i="2" s="1"/>
  <c r="C902" i="2" s="1"/>
  <c r="C903" i="2" s="1"/>
  <c r="C904" i="2" s="1"/>
  <c r="C905" i="2" s="1"/>
  <c r="C906" i="2" s="1"/>
  <c r="C907" i="2" s="1"/>
  <c r="C908" i="2" s="1"/>
  <c r="C909" i="2" s="1"/>
  <c r="C910" i="2" s="1"/>
  <c r="C911" i="2" s="1"/>
  <c r="C912" i="2" s="1"/>
  <c r="C913" i="2" s="1"/>
  <c r="C843" i="2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 s="1"/>
  <c r="C862" i="2" s="1"/>
  <c r="C863" i="2" s="1"/>
  <c r="C864" i="2" s="1"/>
  <c r="C865" i="2" s="1"/>
  <c r="C819" i="2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795" i="2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771" i="2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47" i="2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23" i="2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699" i="2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675" i="2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51" i="2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03" i="2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579" i="2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555" i="2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31" i="2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07" i="2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483" i="2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435" i="2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11" i="2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387" i="2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363" i="2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39" i="2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15" i="2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291" i="2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243" i="2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19" i="2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195" i="2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147" i="2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23" i="2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99" i="2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75" i="2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51" i="2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27" i="2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AB49" i="1" l="1"/>
  <c r="Y49" i="1" l="1"/>
  <c r="W49" i="1"/>
  <c r="X49" i="1"/>
  <c r="AC49" i="1"/>
</calcChain>
</file>

<file path=xl/sharedStrings.xml><?xml version="1.0" encoding="utf-8"?>
<sst xmlns="http://schemas.openxmlformats.org/spreadsheetml/2006/main" count="2040" uniqueCount="1039">
  <si>
    <t>lon</t>
  </si>
  <si>
    <t>lat</t>
  </si>
  <si>
    <t>mooring.flag</t>
  </si>
  <si>
    <t>mooring.name</t>
  </si>
  <si>
    <t>radium.flag</t>
  </si>
  <si>
    <t>deep.flag</t>
  </si>
  <si>
    <t>Bottom.Depth</t>
  </si>
  <si>
    <t>Transit.nm</t>
  </si>
  <si>
    <t>Transit.hr.fast</t>
  </si>
  <si>
    <t>Transit.hr.slow</t>
  </si>
  <si>
    <t>cast.hr</t>
  </si>
  <si>
    <t>Cast.Depth</t>
  </si>
  <si>
    <t>Note</t>
  </si>
  <si>
    <t>Unique Depths</t>
  </si>
  <si>
    <t>DO</t>
  </si>
  <si>
    <t>DIC</t>
  </si>
  <si>
    <t>Chl</t>
  </si>
  <si>
    <t>d18O</t>
  </si>
  <si>
    <t>Nutrient</t>
  </si>
  <si>
    <t xml:space="preserve">Barium </t>
  </si>
  <si>
    <t>eDNA</t>
  </si>
  <si>
    <t>Nd</t>
  </si>
  <si>
    <t>DOC KO</t>
  </si>
  <si>
    <t>d15N</t>
  </si>
  <si>
    <t>NA</t>
  </si>
  <si>
    <t>Test Station</t>
  </si>
  <si>
    <t>surface &amp; deep</t>
  </si>
  <si>
    <t>surface</t>
  </si>
  <si>
    <t>MB9</t>
  </si>
  <si>
    <t>surface, 30 m</t>
  </si>
  <si>
    <t>all depths</t>
  </si>
  <si>
    <t>MB8</t>
  </si>
  <si>
    <t>0 - 55</t>
  </si>
  <si>
    <t>0,40</t>
  </si>
  <si>
    <t xml:space="preserve">1000 m </t>
  </si>
  <si>
    <t>0 - 500</t>
  </si>
  <si>
    <t>MB7</t>
  </si>
  <si>
    <t xml:space="preserve">surface, 30 m, 200 m, 500, 1000 m </t>
  </si>
  <si>
    <t>0-500</t>
  </si>
  <si>
    <t>surface, 1000</t>
  </si>
  <si>
    <t>MB6</t>
  </si>
  <si>
    <t>surface, 30, 40, 200, 500, 1000, 1500, 2000</t>
  </si>
  <si>
    <t>surface + 10 depths [0, 20, 100, 150, 200, 250, 300, 500, 1000, bottom.]</t>
  </si>
  <si>
    <t>MB5</t>
  </si>
  <si>
    <t>surface, 30 m, 200 m, 500, 1000, 1500, 2000, 2500</t>
  </si>
  <si>
    <t>MB4</t>
  </si>
  <si>
    <t>surface, 30 m, 200 m, 500, 1000, 1500</t>
  </si>
  <si>
    <t>M3g</t>
  </si>
  <si>
    <t>surface, 30 m, 200 m, 500, 1000</t>
  </si>
  <si>
    <t>MB2</t>
  </si>
  <si>
    <t>surface, 30, 200, 500, 1000, 1500, 2000, 2500</t>
  </si>
  <si>
    <t>M1-4d</t>
  </si>
  <si>
    <t>surface, 30, 200, 500, 1000, 1500, 2000, 2500, 3000, bottom</t>
  </si>
  <si>
    <t>750 bottles</t>
  </si>
  <si>
    <t xml:space="preserve">58 4L bottles == 3 for blank </t>
  </si>
  <si>
    <t>see nutrients</t>
  </si>
  <si>
    <t>verify with Georgi</t>
  </si>
  <si>
    <t xml:space="preserve">check KOPRI number of DOC samples </t>
  </si>
  <si>
    <t xml:space="preserve">check NPI number of DOC samples </t>
  </si>
  <si>
    <t>No Filtering</t>
  </si>
  <si>
    <t>Filter via Acropak</t>
  </si>
  <si>
    <t>[10] surface, 10, 30, 55, 70, 100, 150, 250, 500, 1000</t>
  </si>
  <si>
    <t>[11] surface, 10, 30, 55, 70, 100, 150, 250, 500, 1000, 2000</t>
  </si>
  <si>
    <t>[12] surface, 10, 30, 55, 70, 100, 150, 250, 500, 1000, 2000, 3000</t>
  </si>
  <si>
    <t>*Collect surface seawater @ test station.</t>
  </si>
  <si>
    <t>Station Number</t>
  </si>
  <si>
    <t>Transect</t>
  </si>
  <si>
    <t>ESAS</t>
  </si>
  <si>
    <t>Along Slope</t>
  </si>
  <si>
    <t>Amundsen</t>
  </si>
  <si>
    <t>Sample summary</t>
  </si>
  <si>
    <t>surface + [0, 20, 100, 150, 200, 250, 300, 500, 1000, bottom.]</t>
  </si>
  <si>
    <t>Station</t>
  </si>
  <si>
    <t>CTD Cast No</t>
  </si>
  <si>
    <t>Fire  Seq</t>
  </si>
  <si>
    <t>Actual Depth (m)</t>
  </si>
  <si>
    <t>Sample ID</t>
  </si>
  <si>
    <t>Notes</t>
  </si>
  <si>
    <t>21-000001</t>
  </si>
  <si>
    <t>21-000002</t>
  </si>
  <si>
    <t>Nuts</t>
  </si>
  <si>
    <t>DOC (KO)</t>
  </si>
  <si>
    <r>
      <t>18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H2O</t>
    </r>
  </si>
  <si>
    <r>
      <t>NO</t>
    </r>
    <r>
      <rPr>
        <b/>
        <vertAlign val="subscript"/>
        <sz val="11"/>
        <color theme="1"/>
        <rFont val="Calibri"/>
        <family val="2"/>
        <scheme val="minor"/>
      </rPr>
      <t>3</t>
    </r>
  </si>
  <si>
    <t>CDOM (NPI)</t>
  </si>
  <si>
    <t>CDOM (KO)</t>
  </si>
  <si>
    <t>Ra</t>
  </si>
  <si>
    <t>Sal</t>
  </si>
  <si>
    <t>Sampled FSW for Chl process</t>
  </si>
  <si>
    <t>Dripping</t>
  </si>
  <si>
    <t>leaking</t>
  </si>
  <si>
    <t>dripping</t>
  </si>
  <si>
    <t>leak, valve left open</t>
  </si>
  <si>
    <t>Event</t>
  </si>
  <si>
    <t>Date (YYYY-MM-DD)</t>
  </si>
  <si>
    <t>Latitude</t>
  </si>
  <si>
    <t>Longitude</t>
  </si>
  <si>
    <t>Time I/W (GMT)</t>
  </si>
  <si>
    <t>Time Bottom (GMT)</t>
  </si>
  <si>
    <t>Time O/W (GMT)</t>
  </si>
  <si>
    <t>Water Depth (m)</t>
  </si>
  <si>
    <t>Cast Depth (m)</t>
  </si>
  <si>
    <t>Operator</t>
  </si>
  <si>
    <t>Filename</t>
  </si>
  <si>
    <t>Pa</t>
  </si>
  <si>
    <t>Ta</t>
  </si>
  <si>
    <t>Wsp</t>
  </si>
  <si>
    <t>Wd</t>
  </si>
  <si>
    <t>RH</t>
  </si>
  <si>
    <t>2023-09-01</t>
  </si>
  <si>
    <t>2023-09-01 21:00</t>
  </si>
  <si>
    <t>MM</t>
  </si>
  <si>
    <t>HLY2302_Station0_Cast1.hex</t>
  </si>
  <si>
    <t>Radium OTS</t>
  </si>
  <si>
    <t>Mooring Releases</t>
  </si>
  <si>
    <t>Mooring Station</t>
  </si>
  <si>
    <t xml:space="preserve">This station is at a slightly different position than the planned location. </t>
  </si>
  <si>
    <t>Ba</t>
  </si>
  <si>
    <t>CDOM NPI</t>
  </si>
  <si>
    <t xml:space="preserve">surface,20 </t>
  </si>
  <si>
    <t>21-000007</t>
  </si>
  <si>
    <t>21-000006</t>
  </si>
  <si>
    <t>21-000008</t>
  </si>
  <si>
    <t>21-000009</t>
  </si>
  <si>
    <t>21-000005</t>
  </si>
  <si>
    <t>21-000004</t>
  </si>
  <si>
    <t>21-000003</t>
  </si>
  <si>
    <t>leaking (very leaky)</t>
  </si>
  <si>
    <t>2023-09-03</t>
  </si>
  <si>
    <t>2023-09-03 17:41</t>
  </si>
  <si>
    <t>MS</t>
  </si>
  <si>
    <t>Stn1_Cast1.hex</t>
  </si>
  <si>
    <t xml:space="preserve">Ship took 10 - 20 min to position on station. </t>
  </si>
  <si>
    <t>21-000012</t>
  </si>
  <si>
    <t>21-000011</t>
  </si>
  <si>
    <t>21-000010</t>
  </si>
  <si>
    <t>2023-09-04 01:50</t>
  </si>
  <si>
    <t>2023-09-04</t>
  </si>
  <si>
    <t>Stn2_Cast1.hex</t>
  </si>
  <si>
    <t>almost all depths</t>
  </si>
  <si>
    <t>2023-09-04 06:00</t>
  </si>
  <si>
    <t>NBenz</t>
  </si>
  <si>
    <t>Stn3_Cast1.hex</t>
  </si>
  <si>
    <t>Stn6_Cast1.hex</t>
  </si>
  <si>
    <t>Stn10_Cast1.hex</t>
  </si>
  <si>
    <t>Stn11_Cast1.hex</t>
  </si>
  <si>
    <t>21-000018</t>
  </si>
  <si>
    <t>21-000017</t>
  </si>
  <si>
    <t>21-000016</t>
  </si>
  <si>
    <t>21-000015</t>
  </si>
  <si>
    <t>21-000014</t>
  </si>
  <si>
    <t>21-000013</t>
  </si>
  <si>
    <t>21-000025</t>
  </si>
  <si>
    <t>21-000024</t>
  </si>
  <si>
    <t>21-000023</t>
  </si>
  <si>
    <t>21-000022</t>
  </si>
  <si>
    <t>21-000021</t>
  </si>
  <si>
    <t>21-000020</t>
  </si>
  <si>
    <t>21-000019</t>
  </si>
  <si>
    <t>2023-09-05</t>
  </si>
  <si>
    <t>2023-09-06</t>
  </si>
  <si>
    <t>2023-09-07</t>
  </si>
  <si>
    <t>2023-09-08</t>
  </si>
  <si>
    <t>2023-09-04 10:00</t>
  </si>
  <si>
    <t>HLY2302_Station4_Cast1.hex</t>
  </si>
  <si>
    <t>HLY2302_Station5_Cast1.hex</t>
  </si>
  <si>
    <t>HLY2302_Station12_Cast1.hex</t>
  </si>
  <si>
    <t>21-000037</t>
  </si>
  <si>
    <t>21-000036</t>
  </si>
  <si>
    <t>21-000046</t>
  </si>
  <si>
    <t>21-000056</t>
  </si>
  <si>
    <t>21-000035</t>
  </si>
  <si>
    <t>21-000034</t>
  </si>
  <si>
    <t>21-000033</t>
  </si>
  <si>
    <t>21-000032</t>
  </si>
  <si>
    <t>21-000031</t>
  </si>
  <si>
    <t>21-000030</t>
  </si>
  <si>
    <t>21-000029</t>
  </si>
  <si>
    <t>21-000028</t>
  </si>
  <si>
    <t>21-000027</t>
  </si>
  <si>
    <t>21-000026</t>
  </si>
  <si>
    <t>21-000051</t>
  </si>
  <si>
    <t>21-000050</t>
  </si>
  <si>
    <t>21-000049</t>
  </si>
  <si>
    <t>21-000048</t>
  </si>
  <si>
    <t>21-000047</t>
  </si>
  <si>
    <t>21-000045</t>
  </si>
  <si>
    <t>21-000044</t>
  </si>
  <si>
    <t>21-000043</t>
  </si>
  <si>
    <t>21-000042</t>
  </si>
  <si>
    <t>21-000041</t>
  </si>
  <si>
    <t>21-000040</t>
  </si>
  <si>
    <t>21-000039</t>
  </si>
  <si>
    <t>21-000038</t>
  </si>
  <si>
    <t>21-000055</t>
  </si>
  <si>
    <t>21-000054</t>
  </si>
  <si>
    <t>21-000053</t>
  </si>
  <si>
    <t>21-000052</t>
  </si>
  <si>
    <t>2023-09-04 14:33</t>
  </si>
  <si>
    <t>ms</t>
  </si>
  <si>
    <t>2023-09-05 01:59</t>
  </si>
  <si>
    <t>&lt;1</t>
  </si>
  <si>
    <t>Cice (/10)</t>
  </si>
  <si>
    <t>2023-09-05 03:47</t>
  </si>
  <si>
    <t>Did not remove caps on transmiss, fluoro, and cdom. ; oozy glowstick</t>
  </si>
  <si>
    <t xml:space="preserve">oozy glow stick </t>
  </si>
  <si>
    <t>2023-09-05 08:15</t>
  </si>
  <si>
    <t>Station7_Cast1.hex</t>
  </si>
  <si>
    <t>Station8_Cast1.hex</t>
  </si>
  <si>
    <t>Station13_Cast1.hex</t>
  </si>
  <si>
    <t>Station14_Cast1.hex</t>
  </si>
  <si>
    <t>Station15_Cast1.hex</t>
  </si>
  <si>
    <t>21-000070</t>
  </si>
  <si>
    <t>21-000069</t>
  </si>
  <si>
    <t>21-000068</t>
  </si>
  <si>
    <t>21-000067</t>
  </si>
  <si>
    <t>21-000066</t>
  </si>
  <si>
    <t>21-000065</t>
  </si>
  <si>
    <t>21-000064</t>
  </si>
  <si>
    <t>21-000063</t>
  </si>
  <si>
    <t>21-000062</t>
  </si>
  <si>
    <t>21-000061</t>
  </si>
  <si>
    <t>21-000060</t>
  </si>
  <si>
    <t>21-000059</t>
  </si>
  <si>
    <t>21-000058</t>
  </si>
  <si>
    <t>21-000057</t>
  </si>
  <si>
    <t>2023-09-05 14:26</t>
  </si>
  <si>
    <t>MS/MM</t>
  </si>
  <si>
    <t>2023-09-05 19:46</t>
  </si>
  <si>
    <t xml:space="preserve">aborted due to caps on. </t>
  </si>
  <si>
    <t>2023-09-05 21:16</t>
  </si>
  <si>
    <t xml:space="preserve">Stn9_Cast3 </t>
  </si>
  <si>
    <t xml:space="preserve">Sea ice is 1/10 visually assessed from aft com. </t>
  </si>
  <si>
    <t>21-000088</t>
  </si>
  <si>
    <t>21-000087</t>
  </si>
  <si>
    <t>21-000086</t>
  </si>
  <si>
    <t>21-000085</t>
  </si>
  <si>
    <t>21-000084</t>
  </si>
  <si>
    <t>21-000083</t>
  </si>
  <si>
    <t>21-000082</t>
  </si>
  <si>
    <t>21-000081</t>
  </si>
  <si>
    <t>21-000080</t>
  </si>
  <si>
    <t>21-000079</t>
  </si>
  <si>
    <t>21-000078</t>
  </si>
  <si>
    <t>21-000077</t>
  </si>
  <si>
    <t>21-000076</t>
  </si>
  <si>
    <t>21-000075</t>
  </si>
  <si>
    <t>21-000074</t>
  </si>
  <si>
    <t>21-000073</t>
  </si>
  <si>
    <t>21-000072</t>
  </si>
  <si>
    <t>21-000071</t>
  </si>
  <si>
    <t>21-000092</t>
  </si>
  <si>
    <t>21-000091</t>
  </si>
  <si>
    <t>21-000090</t>
  </si>
  <si>
    <t>21-000089</t>
  </si>
  <si>
    <t>21-000112</t>
  </si>
  <si>
    <t>21-000111</t>
  </si>
  <si>
    <t>21-000101</t>
  </si>
  <si>
    <t>21-000110</t>
  </si>
  <si>
    <t>21-000109</t>
  </si>
  <si>
    <t>21-000108</t>
  </si>
  <si>
    <t>21-000107</t>
  </si>
  <si>
    <t>21-000106</t>
  </si>
  <si>
    <t>21-000105</t>
  </si>
  <si>
    <t>21-000104</t>
  </si>
  <si>
    <t>21-000103</t>
  </si>
  <si>
    <t>21-000102</t>
  </si>
  <si>
    <t>21-000100</t>
  </si>
  <si>
    <t>21-000099</t>
  </si>
  <si>
    <t>21-000098</t>
  </si>
  <si>
    <t>21-000096</t>
  </si>
  <si>
    <t>21-000097</t>
  </si>
  <si>
    <t>21-000095</t>
  </si>
  <si>
    <t>21-000094</t>
  </si>
  <si>
    <t>21-000093</t>
  </si>
  <si>
    <t>some depths</t>
  </si>
  <si>
    <t>2023-09-06 03:50</t>
  </si>
  <si>
    <t>21-000114</t>
  </si>
  <si>
    <t>21-000113</t>
  </si>
  <si>
    <t>21-000132</t>
  </si>
  <si>
    <t>21-000131</t>
  </si>
  <si>
    <t>21-000130</t>
  </si>
  <si>
    <t>21-000129</t>
  </si>
  <si>
    <t>21-000128</t>
  </si>
  <si>
    <t>21-000127</t>
  </si>
  <si>
    <t>21-000126</t>
  </si>
  <si>
    <t>21-000125</t>
  </si>
  <si>
    <t>21-000124</t>
  </si>
  <si>
    <t>21-000123</t>
  </si>
  <si>
    <t>21-000122</t>
  </si>
  <si>
    <t>21-000121</t>
  </si>
  <si>
    <t>21-000120</t>
  </si>
  <si>
    <t>21-000119</t>
  </si>
  <si>
    <t>21-000118</t>
  </si>
  <si>
    <t>21-000117</t>
  </si>
  <si>
    <t>21-000116</t>
  </si>
  <si>
    <t>21-000115</t>
  </si>
  <si>
    <t xml:space="preserve">changed surface bottles to 10 m due to ship discharge during cast (foam, burping from above the surface and dripping onto the surface layer). A surface nutrient sample was collected from the radium OTS barrel - it was not filtered. Sample ID 41-000011. The OTS radium sample was collected before any discharge happened. We did not collect eDNA on this cast due to the above issue. </t>
  </si>
  <si>
    <t>2023-09-07 4:52:30</t>
  </si>
  <si>
    <t>EV</t>
  </si>
  <si>
    <t>21-000152</t>
  </si>
  <si>
    <t>2000, 1000</t>
  </si>
  <si>
    <t>surf 1000</t>
  </si>
  <si>
    <t xml:space="preserve">some depths </t>
  </si>
  <si>
    <t>10, 1000</t>
  </si>
  <si>
    <t>21-000151</t>
  </si>
  <si>
    <t>21-000150</t>
  </si>
  <si>
    <t>21-000149</t>
  </si>
  <si>
    <t>21-000148</t>
  </si>
  <si>
    <t>21-000147</t>
  </si>
  <si>
    <t>21-000146</t>
  </si>
  <si>
    <t>21-000145</t>
  </si>
  <si>
    <t>21-000144</t>
  </si>
  <si>
    <t>21-000143</t>
  </si>
  <si>
    <t>21-000142</t>
  </si>
  <si>
    <t>21-000141</t>
  </si>
  <si>
    <t>21-000140</t>
  </si>
  <si>
    <t>21-000139</t>
  </si>
  <si>
    <t>21-000138</t>
  </si>
  <si>
    <t>21-000137</t>
  </si>
  <si>
    <t>21-000136</t>
  </si>
  <si>
    <t>21-000135</t>
  </si>
  <si>
    <t>21-000134</t>
  </si>
  <si>
    <t>21-000133</t>
  </si>
  <si>
    <t>Put a few turns on the props due to encroaching ice @ ~100 m CTD Depths</t>
  </si>
  <si>
    <t>2023-09-07 14:17</t>
  </si>
  <si>
    <t>Winds at this station restricted the cast depht to 250; we sampled a combined cast w/ Ra at dephts of 250 and 40. Sample labels up to 21-000177 were originally allocated for stn 12 cast 1 and 2. Because of the change in cast plan several IDs are unused</t>
  </si>
  <si>
    <t>21-000171</t>
  </si>
  <si>
    <t>21-000170</t>
  </si>
  <si>
    <t>21-000168</t>
  </si>
  <si>
    <t>21-000167</t>
  </si>
  <si>
    <t>21-000166</t>
  </si>
  <si>
    <t>21-000165</t>
  </si>
  <si>
    <t>21-000164</t>
  </si>
  <si>
    <t>21-000163</t>
  </si>
  <si>
    <t>21-000162</t>
  </si>
  <si>
    <t>21-000161</t>
  </si>
  <si>
    <t>21-000160</t>
  </si>
  <si>
    <t>21-000159</t>
  </si>
  <si>
    <t>21-000158</t>
  </si>
  <si>
    <t>21-000157</t>
  </si>
  <si>
    <t>21-000196</t>
  </si>
  <si>
    <t>21-000195</t>
  </si>
  <si>
    <t>21-000194</t>
  </si>
  <si>
    <t>21-000193</t>
  </si>
  <si>
    <t>21-000192</t>
  </si>
  <si>
    <t>21-000191</t>
  </si>
  <si>
    <t>21-000190</t>
  </si>
  <si>
    <t>21-000189</t>
  </si>
  <si>
    <t>21-000188</t>
  </si>
  <si>
    <t>21-000187</t>
  </si>
  <si>
    <t>21-000186</t>
  </si>
  <si>
    <t>21-000185</t>
  </si>
  <si>
    <t>21-000184</t>
  </si>
  <si>
    <t>21-000183</t>
  </si>
  <si>
    <t>21-000182</t>
  </si>
  <si>
    <t>21-000181</t>
  </si>
  <si>
    <t>21-000180</t>
  </si>
  <si>
    <t>21-000179</t>
  </si>
  <si>
    <t>21-000178</t>
  </si>
  <si>
    <t>21-000177</t>
  </si>
  <si>
    <t xml:space="preserve">log sheet missing check mark for NO3 on niskin 4; I believe it was sampled - check vials when inventorying. </t>
  </si>
  <si>
    <t>21-000200</t>
  </si>
  <si>
    <t>21-000199</t>
  </si>
  <si>
    <t>21-000198</t>
  </si>
  <si>
    <t>21-000197</t>
  </si>
  <si>
    <t>21-000207</t>
  </si>
  <si>
    <t>21-000217</t>
  </si>
  <si>
    <t>2023-09-07 21:39</t>
  </si>
  <si>
    <t>2023-09-07 00:00:55</t>
  </si>
  <si>
    <t>cast cancelled from wind. Ids used on stn 15; reschedule cast for tomorrow</t>
  </si>
  <si>
    <t>2023-09-08 23:39</t>
  </si>
  <si>
    <t>MM/NB/EV</t>
  </si>
  <si>
    <t>Stn_14_Cast1.hex</t>
  </si>
  <si>
    <t>21-000241</t>
  </si>
  <si>
    <t>21-000242</t>
  </si>
  <si>
    <t>21-000240</t>
  </si>
  <si>
    <t>21-000239</t>
  </si>
  <si>
    <t>21-000238</t>
  </si>
  <si>
    <t>21-000237</t>
  </si>
  <si>
    <t>21-000236</t>
  </si>
  <si>
    <t>21-000235</t>
  </si>
  <si>
    <t>21-000234</t>
  </si>
  <si>
    <t>21-000233</t>
  </si>
  <si>
    <t>21-000232</t>
  </si>
  <si>
    <t>21-000231</t>
  </si>
  <si>
    <t>21-000230</t>
  </si>
  <si>
    <t>21-000229</t>
  </si>
  <si>
    <t>21-000228</t>
  </si>
  <si>
    <t>21-000223</t>
  </si>
  <si>
    <t>21-000222</t>
  </si>
  <si>
    <t>21-000221</t>
  </si>
  <si>
    <t>21-000220</t>
  </si>
  <si>
    <t>21-000219</t>
  </si>
  <si>
    <t>21-000218</t>
  </si>
  <si>
    <t>21-000216</t>
  </si>
  <si>
    <t>21-000215</t>
  </si>
  <si>
    <t>21-000214</t>
  </si>
  <si>
    <t>21-000213</t>
  </si>
  <si>
    <t>21-000212</t>
  </si>
  <si>
    <t>21-000211</t>
  </si>
  <si>
    <t>21-000210</t>
  </si>
  <si>
    <t>21-000209</t>
  </si>
  <si>
    <t>21-000208</t>
  </si>
  <si>
    <t>21-000206</t>
  </si>
  <si>
    <t>21-000205</t>
  </si>
  <si>
    <t>21-000204</t>
  </si>
  <si>
    <t>21-000203</t>
  </si>
  <si>
    <t>21-000202</t>
  </si>
  <si>
    <t>21-000201</t>
  </si>
  <si>
    <t>2023-09-08 12:36</t>
  </si>
  <si>
    <t>2023-09-08 16:34</t>
  </si>
  <si>
    <t>MM/MS</t>
  </si>
  <si>
    <t>Station15_Cast2.hex</t>
  </si>
  <si>
    <t>Other op duration</t>
  </si>
  <si>
    <t>2023-09-09</t>
  </si>
  <si>
    <t>Longitude E</t>
  </si>
  <si>
    <t>2023-09-09 20:18</t>
  </si>
  <si>
    <t>2023-09-10</t>
  </si>
  <si>
    <t>2023-09-10 02:03</t>
  </si>
  <si>
    <t>Stn17_Cast1.hex</t>
  </si>
  <si>
    <t>21-000224</t>
  </si>
  <si>
    <t>21-000225</t>
  </si>
  <si>
    <t>21-000226</t>
  </si>
  <si>
    <t>21-000227</t>
  </si>
  <si>
    <t>21-000262</t>
  </si>
  <si>
    <t>21-000261</t>
  </si>
  <si>
    <t>21-000260</t>
  </si>
  <si>
    <t>21-000259</t>
  </si>
  <si>
    <t>21-000258</t>
  </si>
  <si>
    <t>21-000257</t>
  </si>
  <si>
    <t>21-000256</t>
  </si>
  <si>
    <t>21-000255</t>
  </si>
  <si>
    <t>21-000254</t>
  </si>
  <si>
    <t>21-000253</t>
  </si>
  <si>
    <t>21-000252</t>
  </si>
  <si>
    <t>21-000251</t>
  </si>
  <si>
    <t>21-000250</t>
  </si>
  <si>
    <t>21-000249</t>
  </si>
  <si>
    <t>21-000248</t>
  </si>
  <si>
    <t>21-000247</t>
  </si>
  <si>
    <t>21-000246</t>
  </si>
  <si>
    <t>21-000245</t>
  </si>
  <si>
    <t>21-000244</t>
  </si>
  <si>
    <t>21-000243</t>
  </si>
  <si>
    <t>21-000282</t>
  </si>
  <si>
    <t>21-000281</t>
  </si>
  <si>
    <t>21-000280</t>
  </si>
  <si>
    <t>21-000279</t>
  </si>
  <si>
    <t>21-000278</t>
  </si>
  <si>
    <t>21-000277</t>
  </si>
  <si>
    <t>21-000276</t>
  </si>
  <si>
    <t>21-000275</t>
  </si>
  <si>
    <t>21-000274</t>
  </si>
  <si>
    <t>21-000273</t>
  </si>
  <si>
    <t>21-000272</t>
  </si>
  <si>
    <t>21-000271</t>
  </si>
  <si>
    <t>21-000270</t>
  </si>
  <si>
    <t>21-000269</t>
  </si>
  <si>
    <t>21-000268</t>
  </si>
  <si>
    <t>21-000267</t>
  </si>
  <si>
    <t>21-000266</t>
  </si>
  <si>
    <t>21-000265</t>
  </si>
  <si>
    <t>21-000264</t>
  </si>
  <si>
    <t>21-000263</t>
  </si>
  <si>
    <t>2023-09-10 07:18:05</t>
  </si>
  <si>
    <t>Station18_Cast1</t>
  </si>
  <si>
    <t>Station19_Cast1</t>
  </si>
  <si>
    <t>Date on log sheet is likely in local (9/9/2023); time is UTC. Date entered here is in UTC. No surface samples b/c of poor sea conditions causing sketch wire behavior. Surface samples were collected from the radium barrel</t>
  </si>
  <si>
    <t>21-000302</t>
  </si>
  <si>
    <t>21-000301</t>
  </si>
  <si>
    <t>21-000300</t>
  </si>
  <si>
    <t>21-000299</t>
  </si>
  <si>
    <t>21-000298</t>
  </si>
  <si>
    <t>21-000297</t>
  </si>
  <si>
    <t>21-000296</t>
  </si>
  <si>
    <t>21-000295</t>
  </si>
  <si>
    <t>21-000294</t>
  </si>
  <si>
    <t>21-000293</t>
  </si>
  <si>
    <t>21-000292</t>
  </si>
  <si>
    <t>21-000291</t>
  </si>
  <si>
    <t>21-000290</t>
  </si>
  <si>
    <t>21-000289</t>
  </si>
  <si>
    <t>21-000288</t>
  </si>
  <si>
    <t>21-000287</t>
  </si>
  <si>
    <t>21-000286</t>
  </si>
  <si>
    <t>21-000285</t>
  </si>
  <si>
    <t>21-000284</t>
  </si>
  <si>
    <t>21-000342</t>
  </si>
  <si>
    <t>21-000341</t>
  </si>
  <si>
    <t>21-000340</t>
  </si>
  <si>
    <t>21-000339</t>
  </si>
  <si>
    <t>21-000338</t>
  </si>
  <si>
    <t>21-000337</t>
  </si>
  <si>
    <t>21-000336</t>
  </si>
  <si>
    <t>21-000335</t>
  </si>
  <si>
    <t>21-000334</t>
  </si>
  <si>
    <t>21-000333</t>
  </si>
  <si>
    <t>21-000332</t>
  </si>
  <si>
    <t>21-000331</t>
  </si>
  <si>
    <t>21-000330</t>
  </si>
  <si>
    <t>21-000329</t>
  </si>
  <si>
    <t>21-000328</t>
  </si>
  <si>
    <t>21-000327</t>
  </si>
  <si>
    <t>21-000326</t>
  </si>
  <si>
    <t>21-000325</t>
  </si>
  <si>
    <t>21-000324</t>
  </si>
  <si>
    <t>Top valve open, switched sampling to bottle 18</t>
  </si>
  <si>
    <t xml:space="preserve">looks like this probably tripped at 1013 m </t>
  </si>
  <si>
    <t>2023-09-10 16:46</t>
  </si>
  <si>
    <t>2023-09-10 21:28</t>
  </si>
  <si>
    <t>NB</t>
  </si>
  <si>
    <t>Stn21_Cast1</t>
  </si>
  <si>
    <t xml:space="preserve">Acquisition seasave crashed at 40 m while firing bottles; COM3 Failure; restarted host and began new cast Stn21_Cast1a </t>
  </si>
  <si>
    <t>21-000346</t>
  </si>
  <si>
    <t>21-000345</t>
  </si>
  <si>
    <t>21-000344</t>
  </si>
  <si>
    <t>21-000343</t>
  </si>
  <si>
    <t>21-000347</t>
  </si>
  <si>
    <t>21-000348</t>
  </si>
  <si>
    <t>21-000349</t>
  </si>
  <si>
    <t>21-000350</t>
  </si>
  <si>
    <t>21-000351</t>
  </si>
  <si>
    <t>21-000352</t>
  </si>
  <si>
    <t>21-000353</t>
  </si>
  <si>
    <t>21-000354</t>
  </si>
  <si>
    <t>21-000355</t>
  </si>
  <si>
    <t>21-000356</t>
  </si>
  <si>
    <t>21-000357</t>
  </si>
  <si>
    <t>21-000358</t>
  </si>
  <si>
    <t>21-000359</t>
  </si>
  <si>
    <t>21-000360</t>
  </si>
  <si>
    <t>21-000361</t>
  </si>
  <si>
    <t>21-000362</t>
  </si>
  <si>
    <t>21-000363</t>
  </si>
  <si>
    <t>21-000364</t>
  </si>
  <si>
    <t>21-000365</t>
  </si>
  <si>
    <t>21-000366</t>
  </si>
  <si>
    <t>21-000367</t>
  </si>
  <si>
    <t>21-000368</t>
  </si>
  <si>
    <t>*250 mL DIC bottles were not releasing bubbles; dirty? - all DIC numbers are referencing the value on the body of the bottle not the cap</t>
  </si>
  <si>
    <t>2023-09-10 23:25</t>
  </si>
  <si>
    <t>Stn21_Cast2</t>
  </si>
  <si>
    <t>21-000303</t>
  </si>
  <si>
    <t>21-000304</t>
  </si>
  <si>
    <t>21-000305</t>
  </si>
  <si>
    <t>21-000306</t>
  </si>
  <si>
    <t>21-000307</t>
  </si>
  <si>
    <t>21-000308</t>
  </si>
  <si>
    <t>21-000309</t>
  </si>
  <si>
    <t>21-000310</t>
  </si>
  <si>
    <t>21-000311</t>
  </si>
  <si>
    <t>21-000312</t>
  </si>
  <si>
    <t>21-000313</t>
  </si>
  <si>
    <t>21-000314</t>
  </si>
  <si>
    <t>21-000315</t>
  </si>
  <si>
    <t>21-000316</t>
  </si>
  <si>
    <t>21-000317</t>
  </si>
  <si>
    <t>21-000318</t>
  </si>
  <si>
    <t>21-000319</t>
  </si>
  <si>
    <t>21-000321</t>
  </si>
  <si>
    <t>21-000320</t>
  </si>
  <si>
    <t>21-000322</t>
  </si>
  <si>
    <t>leak out of spigot</t>
  </si>
  <si>
    <t>too rough to sample surface; bottles closed on the fly above 10 m</t>
  </si>
  <si>
    <t>2023-09-10 12:10</t>
  </si>
  <si>
    <t>too rough to collect surface samples; bottles 22-24 closed on the fly</t>
  </si>
  <si>
    <t>some depths?</t>
  </si>
  <si>
    <t>0-300</t>
  </si>
  <si>
    <t>intercal w/0.45 um</t>
  </si>
  <si>
    <t>2023-09-12</t>
  </si>
  <si>
    <t>2023-09-12 05:39</t>
  </si>
  <si>
    <t>Stn22_Cast1</t>
  </si>
  <si>
    <t>Stn23_Cast1</t>
  </si>
  <si>
    <t>21-000388</t>
  </si>
  <si>
    <t>21-000386</t>
  </si>
  <si>
    <t>21-000387</t>
  </si>
  <si>
    <t>21-000385</t>
  </si>
  <si>
    <t>21-000384</t>
  </si>
  <si>
    <t>21-000383</t>
  </si>
  <si>
    <t>21-000382</t>
  </si>
  <si>
    <t>21-000381</t>
  </si>
  <si>
    <t>21-000380</t>
  </si>
  <si>
    <t>21-000379</t>
  </si>
  <si>
    <t>21-000378</t>
  </si>
  <si>
    <t>21-000377</t>
  </si>
  <si>
    <t>21-000376</t>
  </si>
  <si>
    <t>21-000375</t>
  </si>
  <si>
    <t>21-000374</t>
  </si>
  <si>
    <t>21-000373</t>
  </si>
  <si>
    <t>21-000372</t>
  </si>
  <si>
    <t>21-000371</t>
  </si>
  <si>
    <t>21-000370</t>
  </si>
  <si>
    <t>21-000369</t>
  </si>
  <si>
    <t>fired at 5.5; high sea state</t>
  </si>
  <si>
    <t>surface fired at 5.5 m (kind of on the fly); "high" sea state</t>
  </si>
  <si>
    <t>2023-09-13</t>
  </si>
  <si>
    <t>2023-09-13 04:00</t>
  </si>
  <si>
    <t>MM/EV</t>
  </si>
  <si>
    <t>hard to tell if 9s are 4s or 9 in cast conditions</t>
  </si>
  <si>
    <t>21-000428</t>
  </si>
  <si>
    <t>21-000427</t>
  </si>
  <si>
    <t>21-000426</t>
  </si>
  <si>
    <t>21-000425</t>
  </si>
  <si>
    <t>21-000424</t>
  </si>
  <si>
    <t>21-000423</t>
  </si>
  <si>
    <t>21-000422</t>
  </si>
  <si>
    <t>21-000421</t>
  </si>
  <si>
    <t>21-000420</t>
  </si>
  <si>
    <t>21-000419</t>
  </si>
  <si>
    <t>21-000418</t>
  </si>
  <si>
    <t>21-000417</t>
  </si>
  <si>
    <t>21-000416</t>
  </si>
  <si>
    <t>21-000415</t>
  </si>
  <si>
    <t>21-000414</t>
  </si>
  <si>
    <t>21-000413</t>
  </si>
  <si>
    <t>21-000412</t>
  </si>
  <si>
    <t>21-000411</t>
  </si>
  <si>
    <t>21-000410</t>
  </si>
  <si>
    <t>21-000409</t>
  </si>
  <si>
    <t>loose top valve #4</t>
  </si>
  <si>
    <t>cap not seated well (leaking), corrected during recovery</t>
  </si>
  <si>
    <t>2023-09-13 14:18</t>
  </si>
  <si>
    <t>Station25_cast1</t>
  </si>
  <si>
    <t>bottle 11 leaking during recovery, loose top valve on #4</t>
  </si>
  <si>
    <t>21-000537</t>
  </si>
  <si>
    <t>21-000538</t>
  </si>
  <si>
    <t>21-000539</t>
  </si>
  <si>
    <t>21-000540</t>
  </si>
  <si>
    <t>21-000541</t>
  </si>
  <si>
    <t>21-000542</t>
  </si>
  <si>
    <t>21-000543</t>
  </si>
  <si>
    <t>21-000544</t>
  </si>
  <si>
    <t>21-000545</t>
  </si>
  <si>
    <t>21-000546</t>
  </si>
  <si>
    <t>21-000547</t>
  </si>
  <si>
    <t>21-000548</t>
  </si>
  <si>
    <t>21-000549</t>
  </si>
  <si>
    <t>21-000550</t>
  </si>
  <si>
    <t>21-000551</t>
  </si>
  <si>
    <t>21-000552</t>
  </si>
  <si>
    <t>21-000553</t>
  </si>
  <si>
    <t>21-000554</t>
  </si>
  <si>
    <t>21-000555</t>
  </si>
  <si>
    <t>21-000556</t>
  </si>
  <si>
    <t>2023-09-18</t>
  </si>
  <si>
    <t>2023-09-18 13:12</t>
  </si>
  <si>
    <t>Station33_Cast1</t>
  </si>
  <si>
    <t>2023-09-14</t>
  </si>
  <si>
    <t>2023-09-14 17:26</t>
  </si>
  <si>
    <t>Station26_cast1</t>
  </si>
  <si>
    <t>21-000429</t>
  </si>
  <si>
    <t>21-000430</t>
  </si>
  <si>
    <t>21-000431</t>
  </si>
  <si>
    <t>21-000432</t>
  </si>
  <si>
    <t>21-000433</t>
  </si>
  <si>
    <t>21-000434</t>
  </si>
  <si>
    <t>21-000435</t>
  </si>
  <si>
    <t>21-000436</t>
  </si>
  <si>
    <t>21-000437</t>
  </si>
  <si>
    <t>21-000438</t>
  </si>
  <si>
    <t>21-000439</t>
  </si>
  <si>
    <t>21-000440</t>
  </si>
  <si>
    <t>21-000441</t>
  </si>
  <si>
    <t>21-000442</t>
  </si>
  <si>
    <t>21-000443</t>
  </si>
  <si>
    <t>21-000444</t>
  </si>
  <si>
    <t>21-000445</t>
  </si>
  <si>
    <t>21-000446</t>
  </si>
  <si>
    <t>21-000447</t>
  </si>
  <si>
    <t>21-000448</t>
  </si>
  <si>
    <t>21-000449</t>
  </si>
  <si>
    <t>21-000450</t>
  </si>
  <si>
    <t>21-000451</t>
  </si>
  <si>
    <t>21-000452</t>
  </si>
  <si>
    <t>21-000453</t>
  </si>
  <si>
    <t>21-000454</t>
  </si>
  <si>
    <t>21-000455</t>
  </si>
  <si>
    <t>21-000456</t>
  </si>
  <si>
    <t>21-000457</t>
  </si>
  <si>
    <t>21-000458</t>
  </si>
  <si>
    <t>21-000459</t>
  </si>
  <si>
    <t>21-000460</t>
  </si>
  <si>
    <t>21-000461</t>
  </si>
  <si>
    <t>21-000462</t>
  </si>
  <si>
    <t>21-000463</t>
  </si>
  <si>
    <t>21-000464</t>
  </si>
  <si>
    <t>21-000465</t>
  </si>
  <si>
    <t>21-000466</t>
  </si>
  <si>
    <t>21-000467</t>
  </si>
  <si>
    <t>21-000468</t>
  </si>
  <si>
    <t>21-000469</t>
  </si>
  <si>
    <t>21-000470</t>
  </si>
  <si>
    <t>21-000471</t>
  </si>
  <si>
    <t>2023-09-15</t>
  </si>
  <si>
    <t>2023-09-15 03:00</t>
  </si>
  <si>
    <t>HLY2303_Station27_Cast1</t>
  </si>
  <si>
    <t>2023-09-16</t>
  </si>
  <si>
    <t>Kipp</t>
  </si>
  <si>
    <t>no cast, Ra only - nutrient and Ba from Ra barrel. ID 41-000029</t>
  </si>
  <si>
    <t>2023-09-23</t>
  </si>
  <si>
    <t>2023-09-23 7:35</t>
  </si>
  <si>
    <t>MM, EV, NB, MS</t>
  </si>
  <si>
    <t>Station45_Cast1</t>
  </si>
  <si>
    <t>2023-09-22</t>
  </si>
  <si>
    <t>2023-09-22 23:29</t>
  </si>
  <si>
    <t>Station44_Cast1</t>
  </si>
  <si>
    <t>2023-09-22 16:17</t>
  </si>
  <si>
    <t>Station43_Cast1</t>
  </si>
  <si>
    <t>btl 16, drippy</t>
  </si>
  <si>
    <t>2023-09-22 09:18</t>
  </si>
  <si>
    <t>MS, EV</t>
  </si>
  <si>
    <t>Station42_Cast1</t>
  </si>
  <si>
    <t>mooring team added microcat on cast</t>
  </si>
  <si>
    <t>Primary sensor array looked terrible on the cast. It's probably just Temperature. Cups for shrinking on this cast</t>
  </si>
  <si>
    <t>2023-09-21</t>
  </si>
  <si>
    <t>MM, EV</t>
  </si>
  <si>
    <t>Station41_Cast1</t>
  </si>
  <si>
    <t>log sheet is not filled out - reference digital log. Bottle 23 was leaking &amp; closed on recovery</t>
  </si>
  <si>
    <t>no cast, Ra only - nutrient and Ba from Ra barrel. ID 41-000030</t>
  </si>
  <si>
    <t>2023-09-16 02:55</t>
  </si>
  <si>
    <t>EV/MM</t>
  </si>
  <si>
    <t>Station30_Cast1</t>
  </si>
  <si>
    <t xml:space="preserve">bottle 14 was not fired @ proper depth. Bottle 21 misfired (drained on recovery). DOC was fired after station 31 and stored in the fridge in between. </t>
  </si>
  <si>
    <t>2023-09-17</t>
  </si>
  <si>
    <t>2023-09-17 09:13</t>
  </si>
  <si>
    <t>Station31_Cast1</t>
  </si>
  <si>
    <t>2023-09-17 23:06</t>
  </si>
  <si>
    <t>Station32_Cast1</t>
  </si>
  <si>
    <t>2023-09-18 00:30</t>
  </si>
  <si>
    <t>Station32_Cast2</t>
  </si>
  <si>
    <t>DOC sampled using 0.2 and 0.45 filter for intercal. Torch stopped working again so I was only able to seal samples from niskins 20, 16,12, 6, and 2. All remaining samples were stored in the fridge and sealed at 2023-09-19 @ 4:45 AM UTC</t>
  </si>
  <si>
    <t>2023-09-18 22:25</t>
  </si>
  <si>
    <t xml:space="preserve">??? </t>
  </si>
  <si>
    <t>Station34_Cast1</t>
  </si>
  <si>
    <t xml:space="preserve">Mooring recovery unsuccessful; accoustics werent talking &amp; too much ice </t>
  </si>
  <si>
    <t>Ra pump only; nuts &amp; Ba sampled from Ra barrel. ID = 41-00037</t>
  </si>
  <si>
    <t xml:space="preserve">Ra pump only; no log sheet </t>
  </si>
  <si>
    <t>??? 01:45</t>
  </si>
  <si>
    <t>2023-09-20</t>
  </si>
  <si>
    <t>2023-09-20 13:39</t>
  </si>
  <si>
    <t>This station was "relocated" away from the EEZ, it is supposed to be the deep cast @ the Mooring site, but is 10+ nm away from the location</t>
  </si>
  <si>
    <t>Station39_Cast1</t>
  </si>
  <si>
    <t>only Ra cast @ mooring station, see note on station 38</t>
  </si>
  <si>
    <t>2023-09-21 17:19</t>
  </si>
  <si>
    <t>Station40_Cast1</t>
  </si>
  <si>
    <t>bottle 2 did not close</t>
  </si>
  <si>
    <t>21-000492</t>
  </si>
  <si>
    <t>21-000491</t>
  </si>
  <si>
    <t>21-000490</t>
  </si>
  <si>
    <t>21-000489</t>
  </si>
  <si>
    <t>21-000488</t>
  </si>
  <si>
    <t>21-000487</t>
  </si>
  <si>
    <t>21-000486</t>
  </si>
  <si>
    <t>21-000485</t>
  </si>
  <si>
    <t>21-000484</t>
  </si>
  <si>
    <t>21-000483</t>
  </si>
  <si>
    <t>21-000482</t>
  </si>
  <si>
    <t>21-000481</t>
  </si>
  <si>
    <t>21-000480</t>
  </si>
  <si>
    <t>21-000478</t>
  </si>
  <si>
    <t>21-000477</t>
  </si>
  <si>
    <t>21-000476</t>
  </si>
  <si>
    <t>21-000475</t>
  </si>
  <si>
    <t>21-000474</t>
  </si>
  <si>
    <t>21-000472</t>
  </si>
  <si>
    <t>fired at wrong depth, no samples collected</t>
  </si>
  <si>
    <t>misfired, no samples collected</t>
  </si>
  <si>
    <t>21-000512</t>
  </si>
  <si>
    <t>21-000511</t>
  </si>
  <si>
    <t>21-000510</t>
  </si>
  <si>
    <t>21-000509</t>
  </si>
  <si>
    <t>21-000508</t>
  </si>
  <si>
    <t>21-000507</t>
  </si>
  <si>
    <t>21-000506</t>
  </si>
  <si>
    <t>21-000505</t>
  </si>
  <si>
    <t>21-000504</t>
  </si>
  <si>
    <t>21-000503</t>
  </si>
  <si>
    <t>21-000502</t>
  </si>
  <si>
    <t>21-000501</t>
  </si>
  <si>
    <t>21-000500</t>
  </si>
  <si>
    <t>21-000499</t>
  </si>
  <si>
    <t>21-000498</t>
  </si>
  <si>
    <t>21-000497</t>
  </si>
  <si>
    <t>21-000496</t>
  </si>
  <si>
    <t>21-000495</t>
  </si>
  <si>
    <t>21-000494</t>
  </si>
  <si>
    <t>21-000493</t>
  </si>
  <si>
    <t>21-000516</t>
  </si>
  <si>
    <t>21-000515</t>
  </si>
  <si>
    <t>21-000514</t>
  </si>
  <si>
    <t>21-000513</t>
  </si>
  <si>
    <t>did not close properly</t>
  </si>
  <si>
    <t>21-000536</t>
  </si>
  <si>
    <t>21-000535</t>
  </si>
  <si>
    <t>21-000534</t>
  </si>
  <si>
    <t>21-000533</t>
  </si>
  <si>
    <t>21-000532</t>
  </si>
  <si>
    <t>21-000531</t>
  </si>
  <si>
    <t>21-000530</t>
  </si>
  <si>
    <t>21-000529</t>
  </si>
  <si>
    <t>21-000528</t>
  </si>
  <si>
    <t>21-000527</t>
  </si>
  <si>
    <t>21-000526</t>
  </si>
  <si>
    <t>21-000525</t>
  </si>
  <si>
    <t>21-000524</t>
  </si>
  <si>
    <t>21-000523</t>
  </si>
  <si>
    <t>21-000522</t>
  </si>
  <si>
    <t>21-000521</t>
  </si>
  <si>
    <t>21-000520</t>
  </si>
  <si>
    <t>21-000519</t>
  </si>
  <si>
    <t>21-000518</t>
  </si>
  <si>
    <t>21-000517</t>
  </si>
  <si>
    <t>eD</t>
  </si>
  <si>
    <t xml:space="preserve">eD has a pteropod in it. </t>
  </si>
  <si>
    <t>DO Total</t>
  </si>
  <si>
    <t>Nut Total</t>
  </si>
  <si>
    <t>Ox Iso total</t>
  </si>
  <si>
    <t>Ba Total</t>
  </si>
  <si>
    <t>Chl Total</t>
  </si>
  <si>
    <t>CDOM NPI Total</t>
  </si>
  <si>
    <t>DOC/CDOM KOPRI</t>
  </si>
  <si>
    <t>NO3 Iso</t>
  </si>
  <si>
    <t>DIC Total</t>
  </si>
  <si>
    <t>Total Samples</t>
  </si>
  <si>
    <t>21-000557</t>
  </si>
  <si>
    <t>21-000558</t>
  </si>
  <si>
    <t>21-000559</t>
  </si>
  <si>
    <t>21-000560</t>
  </si>
  <si>
    <t>21-000561</t>
  </si>
  <si>
    <t>21-000562</t>
  </si>
  <si>
    <t>21-000563</t>
  </si>
  <si>
    <t>21-000564</t>
  </si>
  <si>
    <t>21-000565</t>
  </si>
  <si>
    <t>21-000566</t>
  </si>
  <si>
    <t>21-000567</t>
  </si>
  <si>
    <t>21-000568</t>
  </si>
  <si>
    <t>21-000569</t>
  </si>
  <si>
    <t>21-000570</t>
  </si>
  <si>
    <t>21-000571</t>
  </si>
  <si>
    <t>21-000572</t>
  </si>
  <si>
    <t>21-000573</t>
  </si>
  <si>
    <t>21-000574</t>
  </si>
  <si>
    <t>21-000575</t>
  </si>
  <si>
    <t>21-000576</t>
  </si>
  <si>
    <t>21-000577</t>
  </si>
  <si>
    <t>21-000578</t>
  </si>
  <si>
    <t>21-000590</t>
  </si>
  <si>
    <t>21-000589</t>
  </si>
  <si>
    <t>21-000689</t>
  </si>
  <si>
    <t>21-000588</t>
  </si>
  <si>
    <t>21-000587</t>
  </si>
  <si>
    <t>21-000586</t>
  </si>
  <si>
    <t>21-000585</t>
  </si>
  <si>
    <t>21-000584</t>
  </si>
  <si>
    <t>21-000583</t>
  </si>
  <si>
    <t>21-000582</t>
  </si>
  <si>
    <t>21-000581</t>
  </si>
  <si>
    <t>21-000580</t>
  </si>
  <si>
    <t>Bottle11 may have a leak; some flow when cap is closed. Driver overshot 10 m mark and corrected back to 10. ---This cast was sent to 1200 m but bottles were sampled only to 250 m to save time</t>
  </si>
  <si>
    <t>21-000591</t>
  </si>
  <si>
    <t>21-000592</t>
  </si>
  <si>
    <t>21-000593</t>
  </si>
  <si>
    <t>21-000594</t>
  </si>
  <si>
    <t>21-000595</t>
  </si>
  <si>
    <t>21-000596</t>
  </si>
  <si>
    <t>21-000597</t>
  </si>
  <si>
    <t>21-000598</t>
  </si>
  <si>
    <t>21-000599</t>
  </si>
  <si>
    <t>21-000600</t>
  </si>
  <si>
    <t>21-000601</t>
  </si>
  <si>
    <t>21-000602</t>
  </si>
  <si>
    <t>21-000603</t>
  </si>
  <si>
    <t>21-000604</t>
  </si>
  <si>
    <t>21-000605</t>
  </si>
  <si>
    <t>21-000606</t>
  </si>
  <si>
    <t>21-000607</t>
  </si>
  <si>
    <t>21-000608</t>
  </si>
  <si>
    <t>21-000609</t>
  </si>
  <si>
    <t>21-000610</t>
  </si>
  <si>
    <t>21-000611</t>
  </si>
  <si>
    <t>21-000612</t>
  </si>
  <si>
    <t>21-000613</t>
  </si>
  <si>
    <t>21-000618</t>
  </si>
  <si>
    <t>21-000617</t>
  </si>
  <si>
    <t>21-000619</t>
  </si>
  <si>
    <t>21-000616</t>
  </si>
  <si>
    <t>21-000615</t>
  </si>
  <si>
    <t>21-000620</t>
  </si>
  <si>
    <t>21-000621</t>
  </si>
  <si>
    <t>21-000622</t>
  </si>
  <si>
    <t>21-000623</t>
  </si>
  <si>
    <t>21-000624</t>
  </si>
  <si>
    <t>21-000625</t>
  </si>
  <si>
    <t>21-000626</t>
  </si>
  <si>
    <t>21-000627</t>
  </si>
  <si>
    <t>21-000628</t>
  </si>
  <si>
    <t>21-000629</t>
  </si>
  <si>
    <t>21-000630</t>
  </si>
  <si>
    <t>21-000631</t>
  </si>
  <si>
    <t>21-000634</t>
  </si>
  <si>
    <t>21-000635</t>
  </si>
  <si>
    <t>21-000636</t>
  </si>
  <si>
    <t>21-000637</t>
  </si>
  <si>
    <t>21-000638</t>
  </si>
  <si>
    <t>21-000639</t>
  </si>
  <si>
    <t>21-000640</t>
  </si>
  <si>
    <t>misfire</t>
  </si>
  <si>
    <t>21-000659</t>
  </si>
  <si>
    <t>21-000660</t>
  </si>
  <si>
    <t>21-000661</t>
  </si>
  <si>
    <t>21-000662</t>
  </si>
  <si>
    <t>21-000663</t>
  </si>
  <si>
    <t>21-000664</t>
  </si>
  <si>
    <t>21-000665</t>
  </si>
  <si>
    <t>21-000666</t>
  </si>
  <si>
    <t>21-000667</t>
  </si>
  <si>
    <t>21-000668</t>
  </si>
  <si>
    <t>21-000669</t>
  </si>
  <si>
    <t>21-000670</t>
  </si>
  <si>
    <t>21-000671</t>
  </si>
  <si>
    <t>21-000672</t>
  </si>
  <si>
    <t>21-000673</t>
  </si>
  <si>
    <t>21-000674</t>
  </si>
  <si>
    <t>21-000675</t>
  </si>
  <si>
    <t>21-000676</t>
  </si>
  <si>
    <t>21-000677</t>
  </si>
  <si>
    <t>21-000678</t>
  </si>
  <si>
    <t>leaky, flow when cap is closed</t>
  </si>
  <si>
    <t>21-000641</t>
  </si>
  <si>
    <t>21-000642</t>
  </si>
  <si>
    <t>21-000643</t>
  </si>
  <si>
    <t>21-000644</t>
  </si>
  <si>
    <t>21-000645</t>
  </si>
  <si>
    <t>21-000646</t>
  </si>
  <si>
    <t>21-000647</t>
  </si>
  <si>
    <t>21-000648</t>
  </si>
  <si>
    <t>21-000649</t>
  </si>
  <si>
    <t>21-000650</t>
  </si>
  <si>
    <t>21-000651</t>
  </si>
  <si>
    <t>21-000652</t>
  </si>
  <si>
    <t>21-000653</t>
  </si>
  <si>
    <t>21-000654</t>
  </si>
  <si>
    <t>21-000656</t>
  </si>
  <si>
    <t>21-000657</t>
  </si>
  <si>
    <t>21-000658</t>
  </si>
  <si>
    <t>21-000632</t>
  </si>
  <si>
    <t>21-000633</t>
  </si>
  <si>
    <t>leaking from bottom cap;closed on recovery</t>
  </si>
  <si>
    <t>21-000679</t>
  </si>
  <si>
    <t>21-000680</t>
  </si>
  <si>
    <t>21-000681</t>
  </si>
  <si>
    <t>21-000682</t>
  </si>
  <si>
    <t>21-000683</t>
  </si>
  <si>
    <t>21-000684</t>
  </si>
  <si>
    <t>21-000685</t>
  </si>
  <si>
    <t>21-000686</t>
  </si>
  <si>
    <t>21-000687</t>
  </si>
  <si>
    <t>21-000688</t>
  </si>
  <si>
    <t>21-000690</t>
  </si>
  <si>
    <t>21-000691</t>
  </si>
  <si>
    <t>21-000692</t>
  </si>
  <si>
    <t>21-000693</t>
  </si>
  <si>
    <t>21-000694</t>
  </si>
  <si>
    <t>21-000695</t>
  </si>
  <si>
    <t>21-000696</t>
  </si>
  <si>
    <t>21-000697</t>
  </si>
  <si>
    <t>21-000698</t>
  </si>
  <si>
    <t>21-000699</t>
  </si>
  <si>
    <t>21-000700</t>
  </si>
  <si>
    <t>21-000701</t>
  </si>
  <si>
    <t>21-000702</t>
  </si>
  <si>
    <t>21-000703</t>
  </si>
  <si>
    <t>21-000704</t>
  </si>
  <si>
    <t>21-000705</t>
  </si>
  <si>
    <t>21-000706</t>
  </si>
  <si>
    <t>21-000707</t>
  </si>
  <si>
    <t>21-000708</t>
  </si>
  <si>
    <t>21-000709</t>
  </si>
  <si>
    <t>21-000710</t>
  </si>
  <si>
    <t>21-000711</t>
  </si>
  <si>
    <t>21-000712</t>
  </si>
  <si>
    <t>21-000713</t>
  </si>
  <si>
    <t>21-000714</t>
  </si>
  <si>
    <t>21-000715</t>
  </si>
  <si>
    <t>21-000716</t>
  </si>
  <si>
    <t>21-000718</t>
  </si>
  <si>
    <t>21-000719</t>
  </si>
  <si>
    <t>21-000720</t>
  </si>
  <si>
    <t>21-000721</t>
  </si>
  <si>
    <t>21-000722</t>
  </si>
  <si>
    <t>21-000723</t>
  </si>
  <si>
    <t>21-000724</t>
  </si>
  <si>
    <t>21-000725</t>
  </si>
  <si>
    <t>21-000726</t>
  </si>
  <si>
    <t>21-000727</t>
  </si>
  <si>
    <t>21-000728</t>
  </si>
  <si>
    <t>21-000729</t>
  </si>
  <si>
    <t>21-000730</t>
  </si>
  <si>
    <t>21-000731</t>
  </si>
  <si>
    <t>21-000732</t>
  </si>
  <si>
    <t>21-000733</t>
  </si>
  <si>
    <t>21-000734</t>
  </si>
  <si>
    <t>21-000735</t>
  </si>
  <si>
    <t>21-000736</t>
  </si>
  <si>
    <t>21-000737</t>
  </si>
  <si>
    <t>21-000738</t>
  </si>
  <si>
    <t>21-000739</t>
  </si>
  <si>
    <t>21-000740</t>
  </si>
  <si>
    <t>21-000741</t>
  </si>
  <si>
    <t>21-000742</t>
  </si>
  <si>
    <t>leaking from bottom seal once valve was opened</t>
  </si>
  <si>
    <t>21-000579</t>
  </si>
  <si>
    <t>21-000655</t>
  </si>
  <si>
    <t>21-000717</t>
  </si>
  <si>
    <t>21-000408</t>
  </si>
  <si>
    <t>21-000407</t>
  </si>
  <si>
    <t>21-000406</t>
  </si>
  <si>
    <t>21-000405</t>
  </si>
  <si>
    <t>21-000404</t>
  </si>
  <si>
    <t>21-000403</t>
  </si>
  <si>
    <t>21-000402</t>
  </si>
  <si>
    <t>21-000401</t>
  </si>
  <si>
    <t>21-000400</t>
  </si>
  <si>
    <t>21-000399</t>
  </si>
  <si>
    <t>21-000398</t>
  </si>
  <si>
    <t>21-000397</t>
  </si>
  <si>
    <t>21-000396</t>
  </si>
  <si>
    <t>21-000395</t>
  </si>
  <si>
    <t>21-000394</t>
  </si>
  <si>
    <t>21-000393</t>
  </si>
  <si>
    <t>21-000392</t>
  </si>
  <si>
    <t>21-000391</t>
  </si>
  <si>
    <t>21-000390</t>
  </si>
  <si>
    <t>21-000389</t>
  </si>
  <si>
    <t>21-000323</t>
  </si>
  <si>
    <t>21-000614</t>
  </si>
  <si>
    <t>Surf</t>
  </si>
  <si>
    <t>21-000153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</si>
</sst>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h:mm;@"/>
    <numFmt numFmtId="165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AA998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0" fillId="33" borderId="10" xfId="0" applyFill="1" applyBorder="1"/>
    <xf numFmtId="0" fontId="0" fillId="33" borderId="0" xfId="0" applyFill="1"/>
    <xf numFmtId="0" fontId="0" fillId="34" borderId="10" xfId="0" applyFill="1" applyBorder="1"/>
    <xf numFmtId="0" fontId="0" fillId="34" borderId="0" xfId="0" applyFill="1"/>
    <xf numFmtId="0" fontId="0" fillId="34" borderId="11" xfId="0" applyFill="1" applyBorder="1"/>
    <xf numFmtId="0" fontId="18" fillId="34" borderId="11" xfId="0" applyFont="1" applyFill="1" applyBorder="1"/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1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quotePrefix="1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1" applyNumberFormat="1" applyFont="1" applyFill="1" applyBorder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20" fontId="0" fillId="0" borderId="0" xfId="0" quotePrefix="1" applyNumberFormat="1" applyAlignment="1">
      <alignment horizontal="center" vertical="center"/>
    </xf>
    <xf numFmtId="164" fontId="14" fillId="0" borderId="0" xfId="0" quotePrefix="1" applyNumberFormat="1" applyFont="1" applyAlignment="1">
      <alignment horizontal="center" vertical="center"/>
    </xf>
    <xf numFmtId="0" fontId="18" fillId="33" borderId="11" xfId="0" applyFont="1" applyFill="1" applyBorder="1"/>
    <xf numFmtId="0" fontId="0" fillId="33" borderId="11" xfId="0" applyFill="1" applyBorder="1"/>
    <xf numFmtId="22" fontId="0" fillId="0" borderId="0" xfId="0" applyNumberFormat="1"/>
    <xf numFmtId="22" fontId="0" fillId="33" borderId="0" xfId="0" applyNumberFormat="1" applyFill="1"/>
    <xf numFmtId="0" fontId="0" fillId="35" borderId="0" xfId="0" applyFill="1"/>
    <xf numFmtId="22" fontId="0" fillId="35" borderId="0" xfId="0" applyNumberFormat="1" applyFill="1"/>
    <xf numFmtId="0" fontId="0" fillId="35" borderId="10" xfId="0" applyFill="1" applyBorder="1"/>
    <xf numFmtId="0" fontId="0" fillId="35" borderId="11" xfId="0" applyFill="1" applyBorder="1"/>
    <xf numFmtId="0" fontId="0" fillId="36" borderId="0" xfId="0" applyFill="1"/>
    <xf numFmtId="0" fontId="0" fillId="0" borderId="0" xfId="0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4" borderId="13" xfId="0" applyFont="1" applyFill="1" applyBorder="1" applyAlignment="1">
      <alignment horizontal="center"/>
    </xf>
    <xf numFmtId="0" fontId="16" fillId="34" borderId="14" xfId="0" applyFon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AA9982"/>
      <color rgb="FF8A77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1"/>
  <sheetViews>
    <sheetView workbookViewId="0">
      <pane xSplit="9" ySplit="2" topLeftCell="V34" activePane="bottomRight" state="frozen"/>
      <selection pane="topRight" activeCell="J1" sqref="J1"/>
      <selection pane="bottomLeft" activeCell="A3" sqref="A3"/>
      <selection pane="bottomRight" activeCell="V48" sqref="V48"/>
    </sheetView>
  </sheetViews>
  <sheetFormatPr defaultRowHeight="14.4" x14ac:dyDescent="0.55000000000000004"/>
  <cols>
    <col min="15" max="15" width="14.41796875" bestFit="1" customWidth="1"/>
    <col min="16" max="16" width="13.41796875" customWidth="1"/>
    <col min="17" max="17" width="15" bestFit="1" customWidth="1"/>
    <col min="18" max="18" width="13.20703125" bestFit="1" customWidth="1"/>
    <col min="19" max="19" width="9.20703125" style="1"/>
    <col min="20" max="20" width="10.1015625" style="2" customWidth="1"/>
    <col min="21" max="22" width="9.20703125" style="2"/>
    <col min="23" max="23" width="13.89453125" style="2" bestFit="1" customWidth="1"/>
    <col min="24" max="24" width="9.20703125" style="3"/>
    <col min="25" max="28" width="9.20703125" style="4"/>
    <col min="29" max="29" width="53.3125" style="5" bestFit="1" customWidth="1"/>
  </cols>
  <sheetData>
    <row r="1" spans="1:30" x14ac:dyDescent="0.55000000000000004">
      <c r="S1" s="34" t="s">
        <v>59</v>
      </c>
      <c r="T1" s="35"/>
      <c r="U1" s="35"/>
      <c r="V1" s="35"/>
      <c r="W1" s="36"/>
      <c r="X1" s="37" t="s">
        <v>60</v>
      </c>
      <c r="Y1" s="38"/>
      <c r="Z1" s="38"/>
      <c r="AA1" s="38"/>
      <c r="AB1" s="38"/>
      <c r="AC1" s="39"/>
    </row>
    <row r="2" spans="1:30" x14ac:dyDescent="0.55000000000000004">
      <c r="A2" t="s">
        <v>66</v>
      </c>
      <c r="B2" t="s">
        <v>65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P2" t="s">
        <v>414</v>
      </c>
      <c r="Q2" t="s">
        <v>12</v>
      </c>
      <c r="R2" t="s">
        <v>13</v>
      </c>
      <c r="S2" s="1" t="s">
        <v>14</v>
      </c>
      <c r="T2" s="2" t="s">
        <v>15</v>
      </c>
      <c r="U2" s="2" t="s">
        <v>17</v>
      </c>
      <c r="V2" s="2" t="s">
        <v>16</v>
      </c>
      <c r="W2" s="2" t="s">
        <v>20</v>
      </c>
      <c r="X2" s="3" t="s">
        <v>18</v>
      </c>
      <c r="Y2" s="4" t="s">
        <v>19</v>
      </c>
      <c r="Z2" s="4" t="s">
        <v>23</v>
      </c>
      <c r="AA2" s="4" t="s">
        <v>21</v>
      </c>
      <c r="AB2" s="4" t="s">
        <v>22</v>
      </c>
      <c r="AC2" s="5" t="s">
        <v>118</v>
      </c>
    </row>
    <row r="3" spans="1:30" s="2" customFormat="1" x14ac:dyDescent="0.55000000000000004">
      <c r="A3" s="2" t="s">
        <v>67</v>
      </c>
      <c r="B3" s="2">
        <v>0</v>
      </c>
      <c r="C3" s="2">
        <v>-170</v>
      </c>
      <c r="D3" s="2">
        <v>76.083333330000002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2">
        <v>-1200</v>
      </c>
      <c r="Q3" s="2" t="s">
        <v>25</v>
      </c>
      <c r="R3" s="2">
        <v>2</v>
      </c>
      <c r="S3" s="1" t="s">
        <v>26</v>
      </c>
      <c r="V3" s="2" t="s">
        <v>27</v>
      </c>
      <c r="X3" s="1" t="s">
        <v>27</v>
      </c>
      <c r="AB3" s="2" t="s">
        <v>27</v>
      </c>
      <c r="AC3" s="25"/>
      <c r="AD3" s="2" t="s">
        <v>64</v>
      </c>
    </row>
    <row r="4" spans="1:30" s="2" customFormat="1" x14ac:dyDescent="0.55000000000000004">
      <c r="A4" s="2" t="s">
        <v>67</v>
      </c>
      <c r="B4" s="2">
        <v>1</v>
      </c>
      <c r="C4" s="2">
        <v>167.702</v>
      </c>
      <c r="D4" s="2">
        <v>73.779166669999995</v>
      </c>
      <c r="E4" s="2">
        <v>1</v>
      </c>
      <c r="F4" s="2" t="s">
        <v>28</v>
      </c>
      <c r="G4" s="2" t="s">
        <v>24</v>
      </c>
      <c r="H4" s="2" t="s">
        <v>24</v>
      </c>
      <c r="I4" s="2">
        <v>-40.064998629999998</v>
      </c>
      <c r="J4" s="2" t="s">
        <v>24</v>
      </c>
      <c r="K4" s="2" t="s">
        <v>24</v>
      </c>
      <c r="L4" s="2" t="s">
        <v>24</v>
      </c>
      <c r="M4" s="2">
        <v>0.71670277699999996</v>
      </c>
      <c r="N4" s="2">
        <v>-40.064998629999998</v>
      </c>
      <c r="R4" s="2">
        <v>4</v>
      </c>
      <c r="S4" s="1" t="s">
        <v>27</v>
      </c>
      <c r="T4" s="2" t="s">
        <v>27</v>
      </c>
      <c r="U4" s="2" t="s">
        <v>30</v>
      </c>
      <c r="V4" s="2" t="s">
        <v>30</v>
      </c>
      <c r="W4" s="2" t="s">
        <v>27</v>
      </c>
      <c r="X4" s="1" t="s">
        <v>30</v>
      </c>
      <c r="Y4" s="2" t="s">
        <v>30</v>
      </c>
      <c r="Z4" s="2" t="s">
        <v>30</v>
      </c>
      <c r="AB4" s="2" t="s">
        <v>30</v>
      </c>
      <c r="AC4" s="25"/>
    </row>
    <row r="5" spans="1:30" s="2" customFormat="1" x14ac:dyDescent="0.55000000000000004">
      <c r="A5" s="2" t="s">
        <v>67</v>
      </c>
      <c r="B5" s="2">
        <v>2</v>
      </c>
      <c r="C5" s="2">
        <v>168.76315389999999</v>
      </c>
      <c r="D5" s="2">
        <v>74.121354999999994</v>
      </c>
      <c r="E5" s="2" t="s">
        <v>24</v>
      </c>
      <c r="F5" s="2" t="s">
        <v>24</v>
      </c>
      <c r="G5" s="2" t="s">
        <v>24</v>
      </c>
      <c r="H5" s="2" t="s">
        <v>24</v>
      </c>
      <c r="I5" s="2">
        <v>-48.242500309999997</v>
      </c>
      <c r="J5" s="2">
        <v>27.092013309999999</v>
      </c>
      <c r="K5" s="2">
        <v>2.709201331</v>
      </c>
      <c r="L5" s="2">
        <v>4.5153355519999998</v>
      </c>
      <c r="M5" s="2">
        <v>0.72124583399999997</v>
      </c>
      <c r="N5" s="2">
        <v>-48.242500309999997</v>
      </c>
      <c r="R5" s="2">
        <v>5</v>
      </c>
      <c r="S5" s="1" t="s">
        <v>27</v>
      </c>
      <c r="T5" s="2" t="s">
        <v>27</v>
      </c>
      <c r="U5" s="2" t="s">
        <v>30</v>
      </c>
      <c r="V5" s="2" t="s">
        <v>30</v>
      </c>
      <c r="W5" s="2" t="s">
        <v>27</v>
      </c>
      <c r="X5" s="1" t="s">
        <v>30</v>
      </c>
      <c r="Y5" s="2" t="s">
        <v>30</v>
      </c>
      <c r="Z5" s="2" t="s">
        <v>30</v>
      </c>
      <c r="AC5" s="25" t="s">
        <v>119</v>
      </c>
    </row>
    <row r="6" spans="1:30" s="2" customFormat="1" x14ac:dyDescent="0.55000000000000004">
      <c r="A6" s="2" t="s">
        <v>67</v>
      </c>
      <c r="B6" s="2">
        <v>3</v>
      </c>
      <c r="C6" s="2">
        <v>169.8694404</v>
      </c>
      <c r="D6" s="2">
        <v>74.458147760000003</v>
      </c>
      <c r="E6" s="2" t="s">
        <v>24</v>
      </c>
      <c r="F6" s="2" t="s">
        <v>24</v>
      </c>
      <c r="G6" s="2" t="s">
        <v>24</v>
      </c>
      <c r="H6" s="2" t="s">
        <v>24</v>
      </c>
      <c r="I6" s="2">
        <v>-54.66249466</v>
      </c>
      <c r="J6" s="2">
        <v>27.091738830000001</v>
      </c>
      <c r="K6" s="2">
        <v>2.7091738830000001</v>
      </c>
      <c r="L6" s="2">
        <v>4.5152898050000001</v>
      </c>
      <c r="M6" s="2">
        <v>0.72481249699999994</v>
      </c>
      <c r="N6" s="2">
        <v>-54.66249466</v>
      </c>
      <c r="R6" s="2">
        <v>6</v>
      </c>
      <c r="S6" s="1" t="s">
        <v>27</v>
      </c>
      <c r="T6" s="2" t="s">
        <v>27</v>
      </c>
      <c r="U6" s="2" t="s">
        <v>30</v>
      </c>
      <c r="V6" s="2" t="s">
        <v>30</v>
      </c>
      <c r="W6" s="2" t="s">
        <v>27</v>
      </c>
      <c r="X6" s="1" t="s">
        <v>30</v>
      </c>
      <c r="Y6" s="2" t="s">
        <v>30</v>
      </c>
      <c r="Z6" s="2" t="s">
        <v>30</v>
      </c>
      <c r="AB6" s="2" t="s">
        <v>30</v>
      </c>
      <c r="AC6" s="25"/>
    </row>
    <row r="7" spans="1:30" s="2" customFormat="1" x14ac:dyDescent="0.55000000000000004">
      <c r="A7" s="2" t="s">
        <v>67</v>
      </c>
      <c r="B7" s="2">
        <v>4</v>
      </c>
      <c r="C7" s="2">
        <v>171.0230329</v>
      </c>
      <c r="D7" s="2">
        <v>74.789176990000001</v>
      </c>
      <c r="E7" s="2" t="s">
        <v>24</v>
      </c>
      <c r="F7" s="2" t="s">
        <v>24</v>
      </c>
      <c r="G7" s="2">
        <v>1</v>
      </c>
      <c r="H7" s="2" t="s">
        <v>24</v>
      </c>
      <c r="I7" s="2">
        <v>-64.880004880000001</v>
      </c>
      <c r="J7" s="2">
        <v>27.09065614</v>
      </c>
      <c r="K7" s="2">
        <v>2.709065614</v>
      </c>
      <c r="L7" s="2">
        <v>4.515109356</v>
      </c>
      <c r="M7" s="2">
        <v>0.730488892</v>
      </c>
      <c r="N7" s="2">
        <v>-64.880004880000001</v>
      </c>
      <c r="R7" s="2">
        <v>7</v>
      </c>
      <c r="S7" s="1" t="s">
        <v>27</v>
      </c>
      <c r="T7" s="2" t="s">
        <v>27</v>
      </c>
      <c r="U7" s="2" t="s">
        <v>30</v>
      </c>
      <c r="V7" s="2" t="s">
        <v>139</v>
      </c>
      <c r="W7" s="2" t="s">
        <v>27</v>
      </c>
      <c r="X7" s="1" t="s">
        <v>30</v>
      </c>
      <c r="Y7" s="2" t="s">
        <v>30</v>
      </c>
      <c r="Z7" s="2" t="s">
        <v>30</v>
      </c>
      <c r="AC7" s="25"/>
    </row>
    <row r="8" spans="1:30" s="2" customFormat="1" x14ac:dyDescent="0.55000000000000004">
      <c r="A8" s="2" t="s">
        <v>67</v>
      </c>
      <c r="B8" s="2">
        <v>5</v>
      </c>
      <c r="C8" s="2">
        <v>172.22614999999999</v>
      </c>
      <c r="D8" s="2">
        <v>75.114050000000006</v>
      </c>
      <c r="E8" s="2">
        <v>1</v>
      </c>
      <c r="F8" s="2" t="s">
        <v>31</v>
      </c>
      <c r="G8" s="2" t="s">
        <v>24</v>
      </c>
      <c r="H8" s="2" t="s">
        <v>24</v>
      </c>
      <c r="I8" s="2">
        <v>-141.98001099999999</v>
      </c>
      <c r="J8" s="2">
        <v>27.088765630000001</v>
      </c>
      <c r="K8" s="2">
        <v>2.708876563</v>
      </c>
      <c r="L8" s="2">
        <v>4.5147942710000004</v>
      </c>
      <c r="M8" s="2">
        <v>0.93998889500000005</v>
      </c>
      <c r="N8" s="2">
        <v>-141.98001099999999</v>
      </c>
      <c r="R8" s="2">
        <v>12</v>
      </c>
      <c r="S8" s="1" t="s">
        <v>29</v>
      </c>
      <c r="T8" s="2" t="s">
        <v>27</v>
      </c>
      <c r="U8" s="2" t="s">
        <v>30</v>
      </c>
      <c r="V8" s="2" t="s">
        <v>32</v>
      </c>
      <c r="W8" s="2" t="s">
        <v>27</v>
      </c>
      <c r="X8" s="1" t="s">
        <v>30</v>
      </c>
      <c r="Y8" s="2" t="s">
        <v>30</v>
      </c>
      <c r="Z8" s="2" t="s">
        <v>30</v>
      </c>
      <c r="AB8" s="2" t="s">
        <v>30</v>
      </c>
      <c r="AC8" s="25"/>
    </row>
    <row r="9" spans="1:30" s="2" customFormat="1" x14ac:dyDescent="0.55000000000000004">
      <c r="A9" s="2" t="s">
        <v>67</v>
      </c>
      <c r="B9" s="2">
        <v>6</v>
      </c>
      <c r="C9" s="2">
        <v>173.713078</v>
      </c>
      <c r="D9" s="2">
        <v>75.43318309</v>
      </c>
      <c r="E9" s="2" t="s">
        <v>24</v>
      </c>
      <c r="F9" s="2" t="s">
        <v>24</v>
      </c>
      <c r="G9" s="2">
        <v>1</v>
      </c>
      <c r="H9" s="2" t="s">
        <v>24</v>
      </c>
      <c r="I9" s="2">
        <v>-204.88999939999999</v>
      </c>
      <c r="J9" s="2">
        <v>29.733132739999999</v>
      </c>
      <c r="K9" s="2">
        <v>2.9733132740000001</v>
      </c>
      <c r="L9" s="2">
        <v>4.9555221239999998</v>
      </c>
      <c r="M9" s="2">
        <v>1.308272222</v>
      </c>
      <c r="N9" s="2">
        <v>-204.88999939999999</v>
      </c>
      <c r="R9" s="2">
        <v>14</v>
      </c>
      <c r="S9" s="1"/>
      <c r="T9" s="2" t="s">
        <v>27</v>
      </c>
      <c r="U9" s="2" t="s">
        <v>30</v>
      </c>
      <c r="V9" s="2" t="s">
        <v>32</v>
      </c>
      <c r="W9" s="2" t="s">
        <v>27</v>
      </c>
      <c r="X9" s="1" t="s">
        <v>30</v>
      </c>
      <c r="Y9" s="2" t="s">
        <v>30</v>
      </c>
      <c r="Z9" s="2" t="s">
        <v>30</v>
      </c>
      <c r="AA9" s="2" t="s">
        <v>33</v>
      </c>
      <c r="AC9" s="25"/>
    </row>
    <row r="10" spans="1:30" s="2" customFormat="1" x14ac:dyDescent="0.55000000000000004">
      <c r="A10" s="2" t="s">
        <v>67</v>
      </c>
      <c r="B10" s="2">
        <v>7</v>
      </c>
      <c r="C10" s="2">
        <v>175.26414510000001</v>
      </c>
      <c r="D10" s="2">
        <v>75.742523640000002</v>
      </c>
      <c r="E10" s="2" t="s">
        <v>24</v>
      </c>
      <c r="F10" s="2" t="s">
        <v>24</v>
      </c>
      <c r="G10" s="2" t="s">
        <v>24</v>
      </c>
      <c r="H10" s="2" t="s">
        <v>24</v>
      </c>
      <c r="I10" s="2">
        <v>-240.45498660000001</v>
      </c>
      <c r="J10" s="2">
        <v>29.733791400000001</v>
      </c>
      <c r="K10" s="2">
        <v>2.97337914</v>
      </c>
      <c r="L10" s="2">
        <v>4.9556318990000001</v>
      </c>
      <c r="M10" s="2">
        <v>1.3280305480000001</v>
      </c>
      <c r="N10" s="2">
        <v>-240.45498660000001</v>
      </c>
      <c r="R10" s="2">
        <v>15</v>
      </c>
      <c r="S10" s="1">
        <v>100</v>
      </c>
      <c r="T10" s="2" t="s">
        <v>27</v>
      </c>
      <c r="U10" s="2" t="s">
        <v>30</v>
      </c>
      <c r="V10" s="2" t="s">
        <v>32</v>
      </c>
      <c r="W10" s="2" t="s">
        <v>27</v>
      </c>
      <c r="X10" s="1" t="s">
        <v>30</v>
      </c>
      <c r="Y10" s="2" t="s">
        <v>30</v>
      </c>
      <c r="Z10" s="2" t="s">
        <v>30</v>
      </c>
      <c r="AB10" s="2" t="s">
        <v>30</v>
      </c>
      <c r="AC10" s="25"/>
    </row>
    <row r="11" spans="1:30" s="2" customFormat="1" x14ac:dyDescent="0.55000000000000004">
      <c r="A11" s="2" t="s">
        <v>67</v>
      </c>
      <c r="B11" s="2">
        <v>8</v>
      </c>
      <c r="C11" s="2">
        <v>176.88135600000001</v>
      </c>
      <c r="D11" s="2">
        <v>76.041408649999994</v>
      </c>
      <c r="E11" s="2" t="s">
        <v>24</v>
      </c>
      <c r="F11" s="2" t="s">
        <v>24</v>
      </c>
      <c r="G11" s="2" t="s">
        <v>24</v>
      </c>
      <c r="H11" s="2" t="s">
        <v>24</v>
      </c>
      <c r="I11" s="2">
        <v>-570.77001949999999</v>
      </c>
      <c r="J11" s="2">
        <v>29.73338279</v>
      </c>
      <c r="K11" s="2">
        <v>2.973338279</v>
      </c>
      <c r="L11" s="2">
        <v>4.9555637990000001</v>
      </c>
      <c r="M11" s="2">
        <v>2.5115389000000001</v>
      </c>
      <c r="N11" s="2">
        <v>-570.77001949999999</v>
      </c>
      <c r="R11" s="2">
        <v>18</v>
      </c>
      <c r="S11" s="1" t="s">
        <v>27</v>
      </c>
      <c r="T11" s="2" t="s">
        <v>27</v>
      </c>
      <c r="U11" s="2" t="s">
        <v>30</v>
      </c>
      <c r="V11" s="2" t="s">
        <v>32</v>
      </c>
      <c r="W11" s="2" t="s">
        <v>27</v>
      </c>
      <c r="X11" s="1" t="s">
        <v>30</v>
      </c>
      <c r="Y11" s="2" t="s">
        <v>30</v>
      </c>
      <c r="Z11" s="2" t="s">
        <v>30</v>
      </c>
      <c r="AC11" s="25"/>
    </row>
    <row r="12" spans="1:30" s="2" customFormat="1" x14ac:dyDescent="0.55000000000000004">
      <c r="A12" s="2" t="s">
        <v>67</v>
      </c>
      <c r="B12" s="2">
        <v>9</v>
      </c>
      <c r="C12" s="2">
        <v>178.566484</v>
      </c>
      <c r="D12" s="2">
        <v>76.329142719999993</v>
      </c>
      <c r="E12" s="2" t="s">
        <v>24</v>
      </c>
      <c r="F12" s="2" t="s">
        <v>24</v>
      </c>
      <c r="G12" s="2">
        <v>1</v>
      </c>
      <c r="H12" s="2" t="s">
        <v>24</v>
      </c>
      <c r="I12" s="2">
        <v>-1166.7025149999999</v>
      </c>
      <c r="J12" s="2">
        <v>29.73190726</v>
      </c>
      <c r="K12" s="2">
        <v>2.9731907259999999</v>
      </c>
      <c r="L12" s="2">
        <v>4.9553178759999996</v>
      </c>
      <c r="M12" s="2">
        <v>2.8426125080000002</v>
      </c>
      <c r="N12" s="2">
        <v>-1166.7025149999999</v>
      </c>
      <c r="R12" s="2">
        <v>20</v>
      </c>
      <c r="S12" s="1" t="s">
        <v>34</v>
      </c>
      <c r="T12" s="2" t="s">
        <v>27</v>
      </c>
      <c r="U12" s="2" t="s">
        <v>30</v>
      </c>
      <c r="V12" s="2" t="s">
        <v>32</v>
      </c>
      <c r="W12" s="2" t="s">
        <v>27</v>
      </c>
      <c r="X12" s="1" t="s">
        <v>30</v>
      </c>
      <c r="Y12" s="2" t="s">
        <v>30</v>
      </c>
      <c r="Z12" s="2" t="s">
        <v>30</v>
      </c>
      <c r="AB12" s="2" t="s">
        <v>30</v>
      </c>
      <c r="AC12" s="25"/>
    </row>
    <row r="13" spans="1:30" s="2" customFormat="1" x14ac:dyDescent="0.55000000000000004">
      <c r="A13" s="2" t="s">
        <v>67</v>
      </c>
      <c r="B13" s="2">
        <v>10</v>
      </c>
      <c r="C13" s="2">
        <v>-179.679</v>
      </c>
      <c r="D13" s="2">
        <v>76.605000000000004</v>
      </c>
      <c r="E13" s="2">
        <v>1</v>
      </c>
      <c r="F13" s="2" t="s">
        <v>36</v>
      </c>
      <c r="G13" s="2" t="s">
        <v>24</v>
      </c>
      <c r="H13" s="2">
        <v>1</v>
      </c>
      <c r="I13" s="2">
        <v>-1168.002563</v>
      </c>
      <c r="J13" s="2">
        <v>29.729365319999999</v>
      </c>
      <c r="K13" s="2">
        <v>2.9729365319999999</v>
      </c>
      <c r="L13" s="2">
        <v>4.9548942189999998</v>
      </c>
      <c r="M13" s="2">
        <v>2.843334757</v>
      </c>
      <c r="N13" s="2">
        <v>-1168.002563</v>
      </c>
      <c r="R13" s="2">
        <v>20</v>
      </c>
      <c r="S13" s="1" t="s">
        <v>37</v>
      </c>
      <c r="T13" s="2" t="s">
        <v>27</v>
      </c>
      <c r="U13" s="2" t="s">
        <v>30</v>
      </c>
      <c r="V13" s="2" t="s">
        <v>32</v>
      </c>
      <c r="W13" s="2" t="s">
        <v>27</v>
      </c>
      <c r="X13" s="1" t="s">
        <v>30</v>
      </c>
      <c r="Y13" s="2" t="s">
        <v>30</v>
      </c>
      <c r="Z13" s="2" t="s">
        <v>30</v>
      </c>
      <c r="AC13" s="24" t="s">
        <v>61</v>
      </c>
    </row>
    <row r="14" spans="1:30" s="2" customFormat="1" x14ac:dyDescent="0.55000000000000004">
      <c r="A14" s="2" t="s">
        <v>67</v>
      </c>
      <c r="B14" s="2">
        <v>11</v>
      </c>
      <c r="C14" s="2">
        <v>-177.98556189999999</v>
      </c>
      <c r="D14" s="2">
        <v>77.008175100000003</v>
      </c>
      <c r="E14" s="2" t="s">
        <v>24</v>
      </c>
      <c r="F14" s="2" t="s">
        <v>24</v>
      </c>
      <c r="G14" s="2" t="s">
        <v>24</v>
      </c>
      <c r="H14" s="2" t="s">
        <v>24</v>
      </c>
      <c r="I14" s="2">
        <v>-1313.5249020000001</v>
      </c>
      <c r="J14" s="2">
        <v>33.568673199999999</v>
      </c>
      <c r="K14" s="2">
        <v>3.3568673200000001</v>
      </c>
      <c r="L14" s="2">
        <v>5.5947788669999996</v>
      </c>
      <c r="M14" s="2">
        <v>2.9241805009999999</v>
      </c>
      <c r="N14" s="2">
        <v>-1200</v>
      </c>
      <c r="R14" s="2">
        <v>20</v>
      </c>
      <c r="S14" s="1"/>
      <c r="T14" s="2" t="s">
        <v>27</v>
      </c>
      <c r="U14" s="2" t="s">
        <v>35</v>
      </c>
      <c r="V14" s="2" t="s">
        <v>32</v>
      </c>
      <c r="W14" s="2" t="s">
        <v>27</v>
      </c>
      <c r="X14" s="1" t="s">
        <v>30</v>
      </c>
      <c r="Y14" s="2" t="s">
        <v>30</v>
      </c>
      <c r="Z14" s="2" t="s">
        <v>30</v>
      </c>
      <c r="AB14" s="2" t="s">
        <v>275</v>
      </c>
      <c r="AC14" s="25"/>
    </row>
    <row r="15" spans="1:30" s="2" customFormat="1" x14ac:dyDescent="0.55000000000000004">
      <c r="A15" s="2" t="s">
        <v>67</v>
      </c>
      <c r="B15" s="2">
        <v>12</v>
      </c>
      <c r="C15" s="2">
        <v>-176.18712909999999</v>
      </c>
      <c r="D15" s="2">
        <v>77.399718239999999</v>
      </c>
      <c r="E15" s="2" t="s">
        <v>24</v>
      </c>
      <c r="F15" s="2" t="s">
        <v>24</v>
      </c>
      <c r="G15" s="2">
        <v>1</v>
      </c>
      <c r="H15" s="2" t="s">
        <v>24</v>
      </c>
      <c r="I15" s="2">
        <v>-1393.9099120000001</v>
      </c>
      <c r="J15" s="2">
        <v>33.569802129999999</v>
      </c>
      <c r="K15" s="2">
        <v>3.3569802129999999</v>
      </c>
      <c r="L15" s="2">
        <v>5.5949670219999996</v>
      </c>
      <c r="M15" s="2">
        <v>2.9688388400000001</v>
      </c>
      <c r="N15" s="2">
        <v>-1200</v>
      </c>
      <c r="R15" s="2">
        <v>20</v>
      </c>
      <c r="S15" s="1" t="s">
        <v>37</v>
      </c>
      <c r="T15" s="2" t="s">
        <v>27</v>
      </c>
      <c r="U15" s="2" t="s">
        <v>35</v>
      </c>
      <c r="V15" s="2" t="s">
        <v>32</v>
      </c>
      <c r="W15" s="2" t="s">
        <v>27</v>
      </c>
      <c r="X15" s="1" t="s">
        <v>30</v>
      </c>
      <c r="Y15" s="2" t="s">
        <v>30</v>
      </c>
      <c r="Z15" s="2" t="s">
        <v>30</v>
      </c>
      <c r="AC15" s="25"/>
    </row>
    <row r="16" spans="1:30" s="2" customFormat="1" x14ac:dyDescent="0.55000000000000004">
      <c r="A16" s="2" t="s">
        <v>67</v>
      </c>
      <c r="B16" s="2">
        <v>13</v>
      </c>
      <c r="C16" s="2">
        <v>-174.2772282</v>
      </c>
      <c r="D16" s="2">
        <v>77.778491560000006</v>
      </c>
      <c r="E16" s="2" t="s">
        <v>24</v>
      </c>
      <c r="F16" s="2" t="s">
        <v>24</v>
      </c>
      <c r="G16" s="2" t="s">
        <v>24</v>
      </c>
      <c r="H16" s="2" t="s">
        <v>24</v>
      </c>
      <c r="I16" s="2">
        <v>-2025.88501</v>
      </c>
      <c r="J16" s="2">
        <v>33.569396019999999</v>
      </c>
      <c r="K16" s="2">
        <v>3.3569396020000002</v>
      </c>
      <c r="L16" s="2">
        <v>5.5948993370000002</v>
      </c>
      <c r="M16" s="2">
        <v>2.861111111</v>
      </c>
      <c r="N16" s="2">
        <v>-1200</v>
      </c>
      <c r="R16" s="2">
        <v>20</v>
      </c>
      <c r="S16" s="1" t="s">
        <v>34</v>
      </c>
      <c r="T16" s="2" t="s">
        <v>27</v>
      </c>
      <c r="U16" s="2" t="s">
        <v>35</v>
      </c>
      <c r="V16" s="2" t="s">
        <v>32</v>
      </c>
      <c r="W16" s="2" t="s">
        <v>27</v>
      </c>
      <c r="X16" s="1" t="s">
        <v>30</v>
      </c>
      <c r="Y16" s="2" t="s">
        <v>30</v>
      </c>
      <c r="Z16" s="2" t="s">
        <v>30</v>
      </c>
      <c r="AB16" s="2" t="s">
        <v>275</v>
      </c>
      <c r="AC16" s="25"/>
    </row>
    <row r="17" spans="1:29" s="2" customFormat="1" x14ac:dyDescent="0.55000000000000004">
      <c r="A17" s="2" t="s">
        <v>67</v>
      </c>
      <c r="B17" s="2">
        <v>14</v>
      </c>
      <c r="C17" s="2">
        <v>-172.2495184</v>
      </c>
      <c r="D17" s="2">
        <v>78.143255530000005</v>
      </c>
      <c r="E17" s="2" t="s">
        <v>24</v>
      </c>
      <c r="F17" s="2" t="s">
        <v>24</v>
      </c>
      <c r="G17" s="2" t="s">
        <v>24</v>
      </c>
      <c r="H17" s="2" t="s">
        <v>24</v>
      </c>
      <c r="I17" s="2">
        <v>-2235.5573730000001</v>
      </c>
      <c r="J17" s="2">
        <v>33.567455350000003</v>
      </c>
      <c r="K17" s="2">
        <v>3.3567455349999999</v>
      </c>
      <c r="L17" s="2">
        <v>5.5945758919999999</v>
      </c>
      <c r="M17" s="2">
        <v>2.861111111</v>
      </c>
      <c r="N17" s="2">
        <v>-1200</v>
      </c>
      <c r="R17" s="2">
        <v>20</v>
      </c>
      <c r="S17" s="1" t="s">
        <v>34</v>
      </c>
      <c r="T17" s="2" t="s">
        <v>27</v>
      </c>
      <c r="U17" s="2" t="s">
        <v>35</v>
      </c>
      <c r="V17" s="2" t="s">
        <v>32</v>
      </c>
      <c r="W17" s="2" t="s">
        <v>27</v>
      </c>
      <c r="X17" s="1" t="s">
        <v>30</v>
      </c>
      <c r="Y17" s="2" t="s">
        <v>30</v>
      </c>
      <c r="Z17" s="2" t="s">
        <v>30</v>
      </c>
      <c r="AC17" s="25"/>
    </row>
    <row r="18" spans="1:29" s="2" customFormat="1" x14ac:dyDescent="0.55000000000000004">
      <c r="A18" s="2" t="s">
        <v>67</v>
      </c>
      <c r="B18" s="2">
        <v>15</v>
      </c>
      <c r="C18" s="2">
        <v>-170.09800000000001</v>
      </c>
      <c r="D18" s="2">
        <v>78.492666670000006</v>
      </c>
      <c r="E18" s="2" t="s">
        <v>24</v>
      </c>
      <c r="F18" s="2" t="s">
        <v>24</v>
      </c>
      <c r="G18" s="2">
        <v>1</v>
      </c>
      <c r="H18" s="2">
        <v>1</v>
      </c>
      <c r="I18" s="2">
        <v>-2603.1701659999999</v>
      </c>
      <c r="J18" s="2">
        <v>33.563981009999999</v>
      </c>
      <c r="K18" s="2">
        <v>3.3563981009999999</v>
      </c>
      <c r="L18" s="2">
        <v>5.5939968340000004</v>
      </c>
      <c r="M18" s="2">
        <v>5.3073167589999999</v>
      </c>
      <c r="N18" s="2">
        <v>-2603.1701659999999</v>
      </c>
      <c r="R18" s="2">
        <v>23</v>
      </c>
      <c r="S18" s="1" t="s">
        <v>301</v>
      </c>
      <c r="T18" s="2" t="s">
        <v>27</v>
      </c>
      <c r="U18" s="2" t="s">
        <v>302</v>
      </c>
      <c r="V18" s="2" t="s">
        <v>32</v>
      </c>
      <c r="W18" s="2" t="s">
        <v>27</v>
      </c>
      <c r="X18" s="1" t="s">
        <v>30</v>
      </c>
      <c r="Y18" s="2" t="s">
        <v>30</v>
      </c>
      <c r="Z18" s="2" t="s">
        <v>30</v>
      </c>
      <c r="AC18" s="24" t="s">
        <v>62</v>
      </c>
    </row>
    <row r="19" spans="1:29" s="2" customFormat="1" x14ac:dyDescent="0.55000000000000004">
      <c r="A19" s="2" t="s">
        <v>68</v>
      </c>
      <c r="B19" s="2">
        <v>16</v>
      </c>
      <c r="C19" s="2">
        <v>179.2028</v>
      </c>
      <c r="D19" s="2">
        <v>77.098200000000006</v>
      </c>
      <c r="E19" s="2" t="s">
        <v>24</v>
      </c>
      <c r="F19" s="2" t="s">
        <v>24</v>
      </c>
      <c r="G19" s="2" t="s">
        <v>24</v>
      </c>
      <c r="H19" s="2" t="s">
        <v>24</v>
      </c>
      <c r="I19" s="2">
        <v>-1068.712524</v>
      </c>
      <c r="J19" s="2">
        <v>159.36900259999999</v>
      </c>
      <c r="K19" s="2">
        <v>15.93690026</v>
      </c>
      <c r="L19" s="2">
        <v>26.561500429999999</v>
      </c>
      <c r="M19" s="2">
        <v>2.7881736240000001</v>
      </c>
      <c r="N19" s="2">
        <v>-1068.712524</v>
      </c>
      <c r="R19" s="2">
        <v>20</v>
      </c>
      <c r="S19" s="1"/>
      <c r="T19" s="2" t="s">
        <v>27</v>
      </c>
      <c r="U19" s="2" t="s">
        <v>35</v>
      </c>
      <c r="V19" s="2" t="s">
        <v>32</v>
      </c>
      <c r="W19" s="2" t="s">
        <v>27</v>
      </c>
      <c r="X19" s="1" t="s">
        <v>30</v>
      </c>
      <c r="Y19" s="2" t="s">
        <v>30</v>
      </c>
      <c r="Z19" s="2" t="s">
        <v>38</v>
      </c>
      <c r="AC19" s="25"/>
    </row>
    <row r="20" spans="1:29" s="2" customFormat="1" x14ac:dyDescent="0.55000000000000004">
      <c r="A20" s="2" t="s">
        <v>68</v>
      </c>
      <c r="B20" s="2">
        <v>17</v>
      </c>
      <c r="C20" s="2">
        <v>178.247668</v>
      </c>
      <c r="D20" s="2">
        <v>77.485110180000007</v>
      </c>
      <c r="E20" s="2" t="s">
        <v>24</v>
      </c>
      <c r="F20" s="2" t="s">
        <v>24</v>
      </c>
      <c r="G20" s="2" t="s">
        <v>24</v>
      </c>
      <c r="H20" s="2" t="s">
        <v>24</v>
      </c>
      <c r="I20" s="2">
        <v>-1207.625</v>
      </c>
      <c r="J20" s="2">
        <v>26.463653470000001</v>
      </c>
      <c r="K20" s="2">
        <v>2.6463653470000001</v>
      </c>
      <c r="L20" s="2">
        <v>4.4106089119999998</v>
      </c>
      <c r="M20" s="2">
        <v>2.865347222</v>
      </c>
      <c r="N20" s="2">
        <v>-1207.625</v>
      </c>
      <c r="R20" s="2">
        <v>20</v>
      </c>
      <c r="S20" s="1" t="s">
        <v>304</v>
      </c>
      <c r="T20" s="2" t="s">
        <v>27</v>
      </c>
      <c r="U20" s="2" t="s">
        <v>35</v>
      </c>
      <c r="V20" s="2" t="s">
        <v>32</v>
      </c>
      <c r="W20" s="2" t="s">
        <v>27</v>
      </c>
      <c r="X20" s="1" t="s">
        <v>30</v>
      </c>
      <c r="Y20" s="2" t="s">
        <v>30</v>
      </c>
      <c r="Z20" s="2" t="s">
        <v>38</v>
      </c>
      <c r="AC20" s="25"/>
    </row>
    <row r="21" spans="1:29" s="2" customFormat="1" x14ac:dyDescent="0.55000000000000004">
      <c r="A21" s="2" t="s">
        <v>68</v>
      </c>
      <c r="B21" s="2">
        <v>18</v>
      </c>
      <c r="C21" s="2">
        <v>177.23288299999999</v>
      </c>
      <c r="D21" s="2">
        <v>77.868444760000003</v>
      </c>
      <c r="E21" s="2" t="s">
        <v>24</v>
      </c>
      <c r="F21" s="2" t="s">
        <v>24</v>
      </c>
      <c r="G21" s="2" t="s">
        <v>24</v>
      </c>
      <c r="H21" s="2" t="s">
        <v>24</v>
      </c>
      <c r="I21" s="2">
        <v>-1496.567505</v>
      </c>
      <c r="J21" s="2">
        <v>26.463845389999999</v>
      </c>
      <c r="K21" s="2">
        <v>2.646384539</v>
      </c>
      <c r="L21" s="2">
        <v>4.4106408979999996</v>
      </c>
      <c r="M21" s="2">
        <v>3.0258708360000002</v>
      </c>
      <c r="N21" s="2">
        <v>-1200</v>
      </c>
      <c r="R21" s="2">
        <v>20</v>
      </c>
      <c r="S21" s="1"/>
      <c r="T21" s="2" t="s">
        <v>27</v>
      </c>
      <c r="U21" s="2" t="s">
        <v>35</v>
      </c>
      <c r="V21" s="2" t="s">
        <v>32</v>
      </c>
      <c r="W21" s="2" t="s">
        <v>27</v>
      </c>
      <c r="X21" s="1" t="s">
        <v>30</v>
      </c>
      <c r="Y21" s="2" t="s">
        <v>30</v>
      </c>
      <c r="Z21" s="2" t="s">
        <v>38</v>
      </c>
      <c r="AB21" s="2" t="s">
        <v>303</v>
      </c>
      <c r="AC21" s="25"/>
    </row>
    <row r="22" spans="1:29" s="2" customFormat="1" x14ac:dyDescent="0.55000000000000004">
      <c r="A22" s="2" t="s">
        <v>68</v>
      </c>
      <c r="B22" s="2">
        <v>19</v>
      </c>
      <c r="C22" s="2">
        <v>176.15327600000001</v>
      </c>
      <c r="D22" s="2">
        <v>78.247842669999997</v>
      </c>
      <c r="E22" s="2" t="s">
        <v>24</v>
      </c>
      <c r="F22" s="2" t="s">
        <v>24</v>
      </c>
      <c r="G22" s="2" t="s">
        <v>24</v>
      </c>
      <c r="H22" s="2" t="s">
        <v>24</v>
      </c>
      <c r="I22" s="2">
        <v>-1825.280029</v>
      </c>
      <c r="J22" s="2">
        <v>26.46328506</v>
      </c>
      <c r="K22" s="2">
        <v>2.6463285060000001</v>
      </c>
      <c r="L22" s="2">
        <v>4.4105475099999998</v>
      </c>
      <c r="M22" s="2">
        <v>2.861111111</v>
      </c>
      <c r="N22" s="2">
        <v>-1200</v>
      </c>
      <c r="R22" s="2">
        <v>20</v>
      </c>
      <c r="S22" s="1"/>
      <c r="T22" s="2" t="s">
        <v>27</v>
      </c>
      <c r="U22" s="2" t="s">
        <v>35</v>
      </c>
      <c r="V22" s="2" t="s">
        <v>32</v>
      </c>
      <c r="W22" s="2" t="s">
        <v>27</v>
      </c>
      <c r="X22" s="1" t="s">
        <v>30</v>
      </c>
      <c r="Y22" s="2" t="s">
        <v>30</v>
      </c>
      <c r="Z22" s="2" t="s">
        <v>38</v>
      </c>
      <c r="AC22" s="25"/>
    </row>
    <row r="23" spans="1:29" s="2" customFormat="1" x14ac:dyDescent="0.55000000000000004">
      <c r="A23" s="2" t="s">
        <v>68</v>
      </c>
      <c r="B23" s="2">
        <v>20</v>
      </c>
      <c r="C23" s="2">
        <v>175.00316910000001</v>
      </c>
      <c r="D23" s="2">
        <v>78.6229005</v>
      </c>
      <c r="E23" s="2" t="s">
        <v>24</v>
      </c>
      <c r="F23" s="2" t="s">
        <v>24</v>
      </c>
      <c r="G23" s="2" t="s">
        <v>24</v>
      </c>
      <c r="H23" s="2" t="s">
        <v>24</v>
      </c>
      <c r="I23" s="2">
        <v>-2119.705078</v>
      </c>
      <c r="J23" s="2">
        <v>26.461972759999998</v>
      </c>
      <c r="K23" s="2">
        <v>2.6461972760000001</v>
      </c>
      <c r="L23" s="2">
        <v>4.4103287929999997</v>
      </c>
      <c r="M23" s="2">
        <v>2.861111111</v>
      </c>
      <c r="N23" s="2">
        <v>-1200</v>
      </c>
      <c r="R23" s="2">
        <v>20</v>
      </c>
      <c r="S23" s="1"/>
      <c r="T23" s="2" t="s">
        <v>27</v>
      </c>
      <c r="U23" s="2" t="s">
        <v>35</v>
      </c>
      <c r="V23" s="2" t="s">
        <v>32</v>
      </c>
      <c r="W23" s="2" t="s">
        <v>27</v>
      </c>
      <c r="X23" s="1" t="s">
        <v>30</v>
      </c>
      <c r="Y23" s="2" t="s">
        <v>30</v>
      </c>
      <c r="Z23" s="2" t="s">
        <v>38</v>
      </c>
      <c r="AC23" s="25"/>
    </row>
    <row r="24" spans="1:29" s="2" customFormat="1" x14ac:dyDescent="0.55000000000000004">
      <c r="A24" s="2" t="s">
        <v>68</v>
      </c>
      <c r="B24" s="2">
        <v>21</v>
      </c>
      <c r="C24" s="2">
        <v>173.7763333</v>
      </c>
      <c r="D24" s="2">
        <v>78.993166669999994</v>
      </c>
      <c r="E24" s="2">
        <v>1</v>
      </c>
      <c r="F24" s="2" t="s">
        <v>40</v>
      </c>
      <c r="G24" s="2">
        <v>1</v>
      </c>
      <c r="H24" s="2">
        <v>1</v>
      </c>
      <c r="I24" s="2">
        <v>-2466.25</v>
      </c>
      <c r="J24" s="2">
        <v>26.459908859999999</v>
      </c>
      <c r="K24" s="2">
        <v>2.6459908859999999</v>
      </c>
      <c r="L24" s="2">
        <v>4.4099848100000001</v>
      </c>
      <c r="M24" s="2">
        <v>5.2312500000000002</v>
      </c>
      <c r="N24" s="2">
        <v>-2466.25</v>
      </c>
      <c r="O24" s="27">
        <v>45179.583333333336</v>
      </c>
      <c r="P24" s="2">
        <v>24</v>
      </c>
      <c r="R24" s="2">
        <v>22</v>
      </c>
      <c r="S24" s="1" t="s">
        <v>41</v>
      </c>
      <c r="T24" s="2" t="s">
        <v>71</v>
      </c>
      <c r="U24" s="2" t="s">
        <v>30</v>
      </c>
      <c r="V24" s="2" t="s">
        <v>32</v>
      </c>
      <c r="W24" s="2" t="s">
        <v>27</v>
      </c>
      <c r="X24" s="1" t="s">
        <v>30</v>
      </c>
      <c r="Y24" s="2" t="s">
        <v>30</v>
      </c>
      <c r="Z24" s="2" t="s">
        <v>30</v>
      </c>
      <c r="AA24" s="2" t="s">
        <v>33</v>
      </c>
      <c r="AC24" s="24" t="s">
        <v>62</v>
      </c>
    </row>
    <row r="25" spans="1:29" s="2" customFormat="1" x14ac:dyDescent="0.55000000000000004">
      <c r="A25" s="2" t="s">
        <v>68</v>
      </c>
      <c r="B25" s="2">
        <v>22</v>
      </c>
      <c r="C25" s="2">
        <v>171.56043729999999</v>
      </c>
      <c r="D25" s="2">
        <v>79.363499660000002</v>
      </c>
      <c r="E25" s="2" t="s">
        <v>24</v>
      </c>
      <c r="F25" s="2" t="s">
        <v>24</v>
      </c>
      <c r="G25" s="2" t="s">
        <v>24</v>
      </c>
      <c r="H25" s="2" t="s">
        <v>24</v>
      </c>
      <c r="I25" s="2">
        <v>-2616.915039</v>
      </c>
      <c r="J25" s="2">
        <v>33.475499759999998</v>
      </c>
      <c r="K25" s="2">
        <v>3.3475499759999998</v>
      </c>
      <c r="L25" s="2">
        <v>5.5792499600000003</v>
      </c>
      <c r="M25" s="2">
        <v>2.861111111</v>
      </c>
      <c r="N25" s="2">
        <v>-1200</v>
      </c>
      <c r="O25" s="27">
        <f>O24+SUM(L25,M24,P24)/24</f>
        <v>45181.033770831666</v>
      </c>
      <c r="P25" s="27"/>
      <c r="R25" s="2">
        <v>20</v>
      </c>
      <c r="S25" s="1"/>
      <c r="T25" s="2" t="s">
        <v>27</v>
      </c>
      <c r="U25" s="2" t="s">
        <v>35</v>
      </c>
      <c r="V25" s="2" t="s">
        <v>32</v>
      </c>
      <c r="W25" s="2" t="s">
        <v>27</v>
      </c>
      <c r="X25" s="1" t="s">
        <v>30</v>
      </c>
      <c r="Y25" s="2" t="s">
        <v>30</v>
      </c>
      <c r="Z25" s="2" t="s">
        <v>38</v>
      </c>
      <c r="AC25" s="25"/>
    </row>
    <row r="26" spans="1:29" s="2" customFormat="1" x14ac:dyDescent="0.55000000000000004">
      <c r="A26" s="2" t="s">
        <v>68</v>
      </c>
      <c r="B26" s="2">
        <v>23</v>
      </c>
      <c r="C26" s="2">
        <v>169.19020090000001</v>
      </c>
      <c r="D26" s="2">
        <v>79.717212520000004</v>
      </c>
      <c r="E26" s="2" t="s">
        <v>24</v>
      </c>
      <c r="F26" s="2" t="s">
        <v>24</v>
      </c>
      <c r="G26" s="2" t="s">
        <v>24</v>
      </c>
      <c r="H26" s="2" t="s">
        <v>24</v>
      </c>
      <c r="I26" s="2">
        <v>-2647.4626459999999</v>
      </c>
      <c r="J26" s="2">
        <v>33.476972410000002</v>
      </c>
      <c r="K26" s="2">
        <v>3.3476972410000001</v>
      </c>
      <c r="L26" s="2">
        <v>5.579495402</v>
      </c>
      <c r="M26" s="2">
        <v>2.861111111</v>
      </c>
      <c r="N26" s="2">
        <v>-1200</v>
      </c>
      <c r="O26" s="27">
        <f t="shared" ref="O26:O48" si="0">O25+SUM(L26,M25,P25)/24</f>
        <v>45181.385462769707</v>
      </c>
      <c r="R26" s="2">
        <v>20</v>
      </c>
      <c r="S26" s="1"/>
      <c r="T26" s="2" t="s">
        <v>27</v>
      </c>
      <c r="U26" s="2" t="s">
        <v>35</v>
      </c>
      <c r="V26" s="2" t="s">
        <v>32</v>
      </c>
      <c r="W26" s="2" t="s">
        <v>27</v>
      </c>
      <c r="X26" s="1" t="s">
        <v>30</v>
      </c>
      <c r="Y26" s="2" t="s">
        <v>30</v>
      </c>
      <c r="Z26" s="2" t="s">
        <v>38</v>
      </c>
      <c r="AC26" s="25"/>
    </row>
    <row r="27" spans="1:29" s="2" customFormat="1" x14ac:dyDescent="0.55000000000000004">
      <c r="A27" s="2" t="s">
        <v>68</v>
      </c>
      <c r="B27" s="2">
        <v>24</v>
      </c>
      <c r="C27" s="2">
        <v>166.65753710000001</v>
      </c>
      <c r="D27" s="2">
        <v>80.052513110000007</v>
      </c>
      <c r="E27" s="2" t="s">
        <v>24</v>
      </c>
      <c r="F27" s="2" t="s">
        <v>24</v>
      </c>
      <c r="G27" s="2" t="s">
        <v>24</v>
      </c>
      <c r="H27" s="2" t="s">
        <v>24</v>
      </c>
      <c r="I27" s="2">
        <v>-2694.054932</v>
      </c>
      <c r="J27" s="2">
        <v>33.47692447</v>
      </c>
      <c r="K27" s="2">
        <v>3.347692447</v>
      </c>
      <c r="L27" s="2">
        <v>5.5794874109999997</v>
      </c>
      <c r="M27" s="2">
        <v>2.861111111</v>
      </c>
      <c r="N27" s="2">
        <v>-1200</v>
      </c>
      <c r="O27" s="27">
        <v>45179.9375</v>
      </c>
      <c r="R27" s="2">
        <v>20</v>
      </c>
      <c r="S27" s="1"/>
      <c r="T27" s="2" t="s">
        <v>27</v>
      </c>
      <c r="U27" s="2" t="s">
        <v>35</v>
      </c>
      <c r="V27" s="2" t="s">
        <v>32</v>
      </c>
      <c r="W27" s="2" t="s">
        <v>27</v>
      </c>
      <c r="X27" s="1" t="s">
        <v>30</v>
      </c>
      <c r="Y27" s="2" t="s">
        <v>30</v>
      </c>
      <c r="Z27" s="2" t="s">
        <v>38</v>
      </c>
      <c r="AB27" s="2" t="s">
        <v>275</v>
      </c>
      <c r="AC27" s="25"/>
    </row>
    <row r="28" spans="1:29" s="2" customFormat="1" x14ac:dyDescent="0.55000000000000004">
      <c r="A28" s="2" t="s">
        <v>68</v>
      </c>
      <c r="B28" s="2">
        <v>25</v>
      </c>
      <c r="C28" s="2">
        <v>163.95570660000001</v>
      </c>
      <c r="D28" s="2">
        <v>80.367464620000007</v>
      </c>
      <c r="E28" s="2" t="s">
        <v>24</v>
      </c>
      <c r="F28" s="2" t="s">
        <v>24</v>
      </c>
      <c r="G28" s="2" t="s">
        <v>24</v>
      </c>
      <c r="H28" s="2" t="s">
        <v>24</v>
      </c>
      <c r="I28" s="2">
        <v>-2726.1301269999999</v>
      </c>
      <c r="J28" s="2">
        <v>33.475356210000001</v>
      </c>
      <c r="K28" s="2">
        <v>3.347535621</v>
      </c>
      <c r="L28" s="2">
        <v>5.5792260349999996</v>
      </c>
      <c r="M28" s="2">
        <v>2.861111111</v>
      </c>
      <c r="N28" s="2">
        <v>-1200</v>
      </c>
      <c r="O28" s="27">
        <f t="shared" si="0"/>
        <v>45180.289180714419</v>
      </c>
      <c r="R28" s="2">
        <v>20</v>
      </c>
      <c r="S28" s="1" t="s">
        <v>34</v>
      </c>
      <c r="T28" s="2" t="s">
        <v>27</v>
      </c>
      <c r="U28" s="2" t="s">
        <v>35</v>
      </c>
      <c r="V28" s="2" t="s">
        <v>32</v>
      </c>
      <c r="W28" s="2" t="s">
        <v>27</v>
      </c>
      <c r="X28" s="1" t="s">
        <v>30</v>
      </c>
      <c r="Y28" s="2" t="s">
        <v>30</v>
      </c>
      <c r="Z28" s="2" t="s">
        <v>38</v>
      </c>
      <c r="AC28" s="25"/>
    </row>
    <row r="29" spans="1:29" s="2" customFormat="1" x14ac:dyDescent="0.55000000000000004">
      <c r="A29" s="2" t="s">
        <v>68</v>
      </c>
      <c r="B29" s="2">
        <v>26</v>
      </c>
      <c r="C29" s="2">
        <v>161.0843333</v>
      </c>
      <c r="D29" s="2">
        <v>80.655833329999993</v>
      </c>
      <c r="E29" s="2">
        <v>1</v>
      </c>
      <c r="F29" s="2" t="s">
        <v>43</v>
      </c>
      <c r="G29" s="2" t="s">
        <v>24</v>
      </c>
      <c r="H29" s="2">
        <v>1</v>
      </c>
      <c r="I29" s="2">
        <v>-2758.1374510000001</v>
      </c>
      <c r="J29" s="2">
        <v>33.472268319999998</v>
      </c>
      <c r="K29" s="2">
        <v>3.347226832</v>
      </c>
      <c r="L29" s="2">
        <v>5.5787113860000002</v>
      </c>
      <c r="M29" s="2">
        <v>3.726743028</v>
      </c>
      <c r="N29" s="2">
        <v>-2758.1374510000001</v>
      </c>
      <c r="O29" s="27">
        <f t="shared" si="0"/>
        <v>45180.640839985128</v>
      </c>
      <c r="P29" s="2">
        <v>24</v>
      </c>
      <c r="R29" s="2">
        <v>23</v>
      </c>
      <c r="S29" s="1" t="s">
        <v>44</v>
      </c>
      <c r="T29" s="2" t="s">
        <v>42</v>
      </c>
      <c r="U29" s="2" t="s">
        <v>568</v>
      </c>
      <c r="V29" s="2" t="s">
        <v>32</v>
      </c>
      <c r="W29" s="2" t="s">
        <v>27</v>
      </c>
      <c r="X29" s="1" t="s">
        <v>30</v>
      </c>
      <c r="Y29" s="2" t="s">
        <v>30</v>
      </c>
      <c r="Z29" s="2" t="s">
        <v>30</v>
      </c>
      <c r="AC29" s="24" t="s">
        <v>62</v>
      </c>
    </row>
    <row r="30" spans="1:29" s="2" customFormat="1" x14ac:dyDescent="0.55000000000000004">
      <c r="A30" s="2" t="s">
        <v>68</v>
      </c>
      <c r="B30" s="2">
        <v>27</v>
      </c>
      <c r="C30" s="2">
        <v>157.6643383</v>
      </c>
      <c r="D30" s="2">
        <v>80.6441102</v>
      </c>
      <c r="E30" s="2" t="s">
        <v>24</v>
      </c>
      <c r="F30" s="2" t="s">
        <v>24</v>
      </c>
      <c r="G30" s="2" t="s">
        <v>24</v>
      </c>
      <c r="H30" s="2" t="s">
        <v>24</v>
      </c>
      <c r="I30" s="2">
        <v>-2615.5974120000001</v>
      </c>
      <c r="J30" s="2">
        <v>33.400322559999999</v>
      </c>
      <c r="K30" s="2">
        <v>3.3400322560000002</v>
      </c>
      <c r="L30" s="2">
        <v>5.5667204259999998</v>
      </c>
      <c r="M30" s="2">
        <v>2.861111111</v>
      </c>
      <c r="N30" s="2">
        <v>-1200</v>
      </c>
      <c r="O30" s="27">
        <f t="shared" si="0"/>
        <v>45182.028067629042</v>
      </c>
      <c r="R30" s="2">
        <v>20</v>
      </c>
      <c r="S30" s="1" t="s">
        <v>34</v>
      </c>
      <c r="T30" s="2" t="s">
        <v>27</v>
      </c>
      <c r="U30" s="2" t="s">
        <v>35</v>
      </c>
      <c r="V30" s="2" t="s">
        <v>32</v>
      </c>
      <c r="W30" s="2" t="s">
        <v>27</v>
      </c>
      <c r="X30" s="1" t="s">
        <v>30</v>
      </c>
      <c r="Y30" s="2" t="s">
        <v>30</v>
      </c>
      <c r="Z30" s="2" t="s">
        <v>38</v>
      </c>
      <c r="AC30" s="25"/>
    </row>
    <row r="31" spans="1:29" s="28" customFormat="1" x14ac:dyDescent="0.55000000000000004">
      <c r="A31" s="28" t="s">
        <v>68</v>
      </c>
      <c r="B31" s="28">
        <v>28</v>
      </c>
      <c r="C31" s="28">
        <v>154.2644071</v>
      </c>
      <c r="D31" s="28">
        <v>80.599789470000005</v>
      </c>
      <c r="E31" s="28" t="s">
        <v>24</v>
      </c>
      <c r="F31" s="28" t="s">
        <v>24</v>
      </c>
      <c r="G31" s="28" t="s">
        <v>24</v>
      </c>
      <c r="H31" s="28" t="s">
        <v>24</v>
      </c>
      <c r="I31" s="28">
        <v>-2326.9724120000001</v>
      </c>
      <c r="J31" s="28">
        <v>33.401965070000003</v>
      </c>
      <c r="K31" s="28">
        <v>3.3401965069999999</v>
      </c>
      <c r="L31" s="28">
        <v>5.5669941779999998</v>
      </c>
      <c r="M31" s="28">
        <v>2.861111111</v>
      </c>
      <c r="N31" s="28">
        <v>-1200</v>
      </c>
      <c r="O31" s="29">
        <f t="shared" si="0"/>
        <v>45182.379238682748</v>
      </c>
      <c r="R31" s="28">
        <v>20</v>
      </c>
      <c r="S31" s="30" t="s">
        <v>39</v>
      </c>
      <c r="T31" s="28" t="s">
        <v>42</v>
      </c>
      <c r="U31" s="28" t="s">
        <v>35</v>
      </c>
      <c r="V31" s="28" t="s">
        <v>32</v>
      </c>
      <c r="W31" s="28" t="s">
        <v>27</v>
      </c>
      <c r="X31" s="30" t="s">
        <v>30</v>
      </c>
      <c r="Y31" s="28" t="s">
        <v>30</v>
      </c>
      <c r="Z31" s="28" t="s">
        <v>38</v>
      </c>
      <c r="AB31" s="28" t="s">
        <v>275</v>
      </c>
      <c r="AC31" s="31"/>
    </row>
    <row r="32" spans="1:29" s="28" customFormat="1" x14ac:dyDescent="0.55000000000000004">
      <c r="A32" s="28" t="s">
        <v>68</v>
      </c>
      <c r="B32" s="28">
        <v>29</v>
      </c>
      <c r="C32" s="28">
        <v>150.90745440000001</v>
      </c>
      <c r="D32" s="28">
        <v>80.523327929999994</v>
      </c>
      <c r="E32" s="28" t="s">
        <v>24</v>
      </c>
      <c r="F32" s="28" t="s">
        <v>24</v>
      </c>
      <c r="G32" s="28" t="s">
        <v>24</v>
      </c>
      <c r="H32" s="28" t="s">
        <v>24</v>
      </c>
      <c r="I32" s="28">
        <v>-1906.425293</v>
      </c>
      <c r="J32" s="28">
        <v>33.402098440000003</v>
      </c>
      <c r="K32" s="28">
        <v>3.3402098439999999</v>
      </c>
      <c r="L32" s="28">
        <v>5.5670164059999996</v>
      </c>
      <c r="M32" s="28">
        <v>2.861111111</v>
      </c>
      <c r="N32" s="28">
        <v>-1200</v>
      </c>
      <c r="O32" s="29">
        <f t="shared" si="0"/>
        <v>45182.730410662625</v>
      </c>
      <c r="R32" s="28">
        <v>20</v>
      </c>
      <c r="S32" s="30" t="s">
        <v>34</v>
      </c>
      <c r="T32" s="28" t="s">
        <v>27</v>
      </c>
      <c r="U32" s="28" t="s">
        <v>35</v>
      </c>
      <c r="V32" s="28" t="s">
        <v>32</v>
      </c>
      <c r="W32" s="28" t="s">
        <v>27</v>
      </c>
      <c r="X32" s="30" t="s">
        <v>30</v>
      </c>
      <c r="Y32" s="28" t="s">
        <v>30</v>
      </c>
      <c r="Z32" s="28" t="s">
        <v>38</v>
      </c>
      <c r="AC32" s="31"/>
    </row>
    <row r="33" spans="1:29" s="2" customFormat="1" x14ac:dyDescent="0.55000000000000004">
      <c r="A33" s="2" t="s">
        <v>68</v>
      </c>
      <c r="B33" s="2">
        <v>30</v>
      </c>
      <c r="C33" s="2">
        <v>147.61466669999999</v>
      </c>
      <c r="D33" s="2">
        <v>80.415499999999994</v>
      </c>
      <c r="E33" s="2">
        <v>1</v>
      </c>
      <c r="F33" s="2" t="s">
        <v>45</v>
      </c>
      <c r="G33" s="2" t="s">
        <v>24</v>
      </c>
      <c r="H33" s="2">
        <v>1</v>
      </c>
      <c r="I33" s="2">
        <v>-1767.4376219999999</v>
      </c>
      <c r="J33" s="2">
        <v>33.400722590000001</v>
      </c>
      <c r="K33" s="2">
        <v>3.3400722589999998</v>
      </c>
      <c r="L33" s="2">
        <v>5.5667870979999998</v>
      </c>
      <c r="M33" s="2">
        <v>3.1763542340000002</v>
      </c>
      <c r="N33" s="2">
        <v>-1767.4376219999999</v>
      </c>
      <c r="O33" s="27">
        <f t="shared" si="0"/>
        <v>45183.081573087999</v>
      </c>
      <c r="P33" s="2">
        <v>24</v>
      </c>
      <c r="R33" s="2">
        <v>21</v>
      </c>
      <c r="S33" s="1" t="s">
        <v>46</v>
      </c>
      <c r="T33" s="2" t="s">
        <v>42</v>
      </c>
      <c r="U33" s="2" t="s">
        <v>30</v>
      </c>
      <c r="V33" s="2" t="s">
        <v>32</v>
      </c>
      <c r="W33" s="2" t="s">
        <v>27</v>
      </c>
      <c r="X33" s="1" t="s">
        <v>30</v>
      </c>
      <c r="Y33" s="2" t="s">
        <v>30</v>
      </c>
      <c r="Z33" s="2" t="s">
        <v>30</v>
      </c>
      <c r="AB33" s="2" t="s">
        <v>567</v>
      </c>
      <c r="AC33" s="24" t="s">
        <v>61</v>
      </c>
    </row>
    <row r="34" spans="1:29" s="2" customFormat="1" x14ac:dyDescent="0.55000000000000004">
      <c r="A34" s="2" t="s">
        <v>68</v>
      </c>
      <c r="B34" s="2">
        <v>31</v>
      </c>
      <c r="C34" s="2">
        <v>144.87308379999999</v>
      </c>
      <c r="D34" s="2">
        <v>80.189010249999995</v>
      </c>
      <c r="E34" s="2" t="s">
        <v>24</v>
      </c>
      <c r="F34" s="2" t="s">
        <v>24</v>
      </c>
      <c r="G34" s="2" t="s">
        <v>24</v>
      </c>
      <c r="H34" s="2" t="s">
        <v>24</v>
      </c>
      <c r="I34" s="2">
        <v>-1438.115112</v>
      </c>
      <c r="J34" s="2">
        <v>30.91362178</v>
      </c>
      <c r="K34" s="2">
        <v>3.0913621779999998</v>
      </c>
      <c r="L34" s="2">
        <v>5.1522702960000002</v>
      </c>
      <c r="M34" s="2">
        <v>2.9933972839999998</v>
      </c>
      <c r="N34" s="2">
        <v>-1200</v>
      </c>
      <c r="O34" s="27">
        <f t="shared" si="0"/>
        <v>45184.428599110084</v>
      </c>
      <c r="R34" s="2">
        <v>20</v>
      </c>
      <c r="S34" s="1"/>
      <c r="T34" s="2" t="s">
        <v>27</v>
      </c>
      <c r="U34" s="2" t="s">
        <v>35</v>
      </c>
      <c r="V34" s="2" t="s">
        <v>32</v>
      </c>
      <c r="W34" s="2" t="s">
        <v>27</v>
      </c>
      <c r="X34" s="1" t="s">
        <v>30</v>
      </c>
      <c r="Y34" s="2" t="s">
        <v>30</v>
      </c>
      <c r="Z34" s="2" t="s">
        <v>38</v>
      </c>
      <c r="AC34" s="25"/>
    </row>
    <row r="35" spans="1:29" s="2" customFormat="1" x14ac:dyDescent="0.55000000000000004">
      <c r="A35" s="2" t="s">
        <v>68</v>
      </c>
      <c r="B35" s="2">
        <v>32</v>
      </c>
      <c r="C35" s="2">
        <v>142.2595</v>
      </c>
      <c r="D35" s="2">
        <v>79.941500000000005</v>
      </c>
      <c r="E35" s="2">
        <v>1</v>
      </c>
      <c r="F35" s="2" t="s">
        <v>47</v>
      </c>
      <c r="G35" s="2">
        <v>1</v>
      </c>
      <c r="H35" s="2">
        <v>1</v>
      </c>
      <c r="I35" s="2">
        <v>-1400.912476</v>
      </c>
      <c r="J35" s="2">
        <v>30.914189459999999</v>
      </c>
      <c r="K35" s="2">
        <v>3.0914189460000001</v>
      </c>
      <c r="L35" s="2">
        <v>5.1523649090000001</v>
      </c>
      <c r="M35" s="2">
        <v>2.972729153</v>
      </c>
      <c r="N35" s="2">
        <v>-1400.912476</v>
      </c>
      <c r="O35" s="27">
        <f t="shared" si="0"/>
        <v>45184.768005868129</v>
      </c>
      <c r="P35" s="2">
        <v>24</v>
      </c>
      <c r="R35" s="2">
        <v>20</v>
      </c>
      <c r="S35" s="1" t="s">
        <v>48</v>
      </c>
      <c r="T35" s="2" t="s">
        <v>42</v>
      </c>
      <c r="U35" s="2" t="s">
        <v>30</v>
      </c>
      <c r="V35" s="2" t="s">
        <v>32</v>
      </c>
      <c r="W35" s="2" t="s">
        <v>27</v>
      </c>
      <c r="X35" s="1" t="s">
        <v>30</v>
      </c>
      <c r="Y35" s="2" t="s">
        <v>30</v>
      </c>
      <c r="Z35" s="2" t="s">
        <v>30</v>
      </c>
      <c r="AA35" s="2" t="s">
        <v>33</v>
      </c>
      <c r="AB35" s="2" t="s">
        <v>569</v>
      </c>
      <c r="AC35" s="24" t="s">
        <v>61</v>
      </c>
    </row>
    <row r="36" spans="1:29" s="2" customFormat="1" x14ac:dyDescent="0.55000000000000004">
      <c r="A36" s="2" t="s">
        <v>68</v>
      </c>
      <c r="B36" s="2">
        <v>33</v>
      </c>
      <c r="C36" s="2">
        <v>140.0680649</v>
      </c>
      <c r="D36" s="2">
        <v>79.856056719999998</v>
      </c>
      <c r="E36" s="2" t="s">
        <v>24</v>
      </c>
      <c r="F36" s="2" t="s">
        <v>24</v>
      </c>
      <c r="G36" s="2" t="s">
        <v>24</v>
      </c>
      <c r="H36" s="2" t="s">
        <v>24</v>
      </c>
      <c r="I36" s="2">
        <v>-1968.9250489999999</v>
      </c>
      <c r="J36" s="2">
        <v>23.664900280000001</v>
      </c>
      <c r="K36" s="2">
        <v>2.3664900279999999</v>
      </c>
      <c r="L36" s="2">
        <v>3.9441500469999999</v>
      </c>
      <c r="M36" s="2">
        <v>2.861111111</v>
      </c>
      <c r="N36" s="2">
        <v>-1200</v>
      </c>
      <c r="O36" s="27">
        <f t="shared" si="0"/>
        <v>45186.056209168128</v>
      </c>
      <c r="R36" s="2">
        <v>20</v>
      </c>
      <c r="S36" s="1"/>
      <c r="T36" s="2" t="s">
        <v>27</v>
      </c>
      <c r="U36" s="2" t="s">
        <v>35</v>
      </c>
      <c r="V36" s="2" t="s">
        <v>32</v>
      </c>
      <c r="W36" s="2" t="s">
        <v>27</v>
      </c>
      <c r="X36" s="1" t="s">
        <v>30</v>
      </c>
      <c r="Y36" s="2" t="s">
        <v>30</v>
      </c>
      <c r="Z36" s="2" t="s">
        <v>38</v>
      </c>
      <c r="AC36" s="25"/>
    </row>
    <row r="37" spans="1:29" s="2" customFormat="1" x14ac:dyDescent="0.55000000000000004">
      <c r="A37" s="2" t="s">
        <v>68</v>
      </c>
      <c r="B37" s="2">
        <v>34</v>
      </c>
      <c r="C37" s="2">
        <v>137.9158333</v>
      </c>
      <c r="D37" s="2">
        <v>79.756333330000004</v>
      </c>
      <c r="E37" s="2">
        <v>1</v>
      </c>
      <c r="F37" s="2" t="s">
        <v>49</v>
      </c>
      <c r="G37" s="2" t="s">
        <v>24</v>
      </c>
      <c r="H37" s="2">
        <v>1</v>
      </c>
      <c r="I37" s="2">
        <v>-2760.2727049999999</v>
      </c>
      <c r="J37" s="2">
        <v>23.665076750000001</v>
      </c>
      <c r="K37" s="2">
        <v>2.3665076749999998</v>
      </c>
      <c r="L37" s="2">
        <v>3.9441794589999999</v>
      </c>
      <c r="M37" s="2">
        <v>3.7279292810000002</v>
      </c>
      <c r="N37" s="2">
        <v>-2760.2727049999999</v>
      </c>
      <c r="O37" s="27">
        <f t="shared" si="0"/>
        <v>45186.339762941876</v>
      </c>
      <c r="P37" s="2">
        <v>24</v>
      </c>
      <c r="R37" s="2">
        <v>23</v>
      </c>
      <c r="S37" s="1"/>
      <c r="T37" s="2" t="s">
        <v>42</v>
      </c>
      <c r="U37" s="2" t="s">
        <v>30</v>
      </c>
      <c r="V37" s="2" t="s">
        <v>32</v>
      </c>
      <c r="W37" s="2" t="s">
        <v>27</v>
      </c>
      <c r="X37" s="1" t="s">
        <v>30</v>
      </c>
      <c r="Y37" s="2" t="s">
        <v>30</v>
      </c>
      <c r="Z37" s="2" t="s">
        <v>30</v>
      </c>
      <c r="AA37" s="2" t="s">
        <v>33</v>
      </c>
      <c r="AC37" s="24" t="s">
        <v>62</v>
      </c>
    </row>
    <row r="38" spans="1:29" s="2" customFormat="1" x14ac:dyDescent="0.55000000000000004">
      <c r="A38" s="2" t="s">
        <v>68</v>
      </c>
      <c r="B38" s="2">
        <v>35</v>
      </c>
      <c r="C38" s="2">
        <v>135.30766209999999</v>
      </c>
      <c r="D38" s="2">
        <v>79.543296470000001</v>
      </c>
      <c r="E38" s="2" t="s">
        <v>24</v>
      </c>
      <c r="F38" s="2" t="s">
        <v>24</v>
      </c>
      <c r="G38" s="2" t="s">
        <v>24</v>
      </c>
      <c r="H38" s="2" t="s">
        <v>24</v>
      </c>
      <c r="I38" s="2">
        <v>-3016.857422</v>
      </c>
      <c r="J38" s="2">
        <v>30.936840539999999</v>
      </c>
      <c r="K38" s="2">
        <v>3.0936840540000001</v>
      </c>
      <c r="L38" s="2">
        <v>5.1561400900000001</v>
      </c>
      <c r="M38" s="2">
        <v>2.861111111</v>
      </c>
      <c r="N38" s="2">
        <v>-1200</v>
      </c>
      <c r="O38" s="27">
        <f t="shared" si="0"/>
        <v>45187.709932498998</v>
      </c>
      <c r="R38" s="2">
        <v>20</v>
      </c>
      <c r="S38" s="1"/>
      <c r="T38" s="2" t="s">
        <v>27</v>
      </c>
      <c r="U38" s="2" t="s">
        <v>35</v>
      </c>
      <c r="V38" s="2" t="s">
        <v>32</v>
      </c>
      <c r="W38" s="2" t="s">
        <v>27</v>
      </c>
      <c r="X38" s="1" t="s">
        <v>30</v>
      </c>
      <c r="Y38" s="2" t="s">
        <v>30</v>
      </c>
      <c r="Z38" s="2" t="s">
        <v>38</v>
      </c>
      <c r="AC38" s="25"/>
    </row>
    <row r="39" spans="1:29" s="2" customFormat="1" x14ac:dyDescent="0.55000000000000004">
      <c r="A39" s="2" t="s">
        <v>68</v>
      </c>
      <c r="B39" s="2">
        <v>36</v>
      </c>
      <c r="C39" s="2">
        <v>132.8070874</v>
      </c>
      <c r="D39" s="2">
        <v>79.309913050000006</v>
      </c>
      <c r="E39" s="2" t="s">
        <v>24</v>
      </c>
      <c r="F39" s="2" t="s">
        <v>24</v>
      </c>
      <c r="G39" s="2" t="s">
        <v>24</v>
      </c>
      <c r="H39" s="2" t="s">
        <v>24</v>
      </c>
      <c r="I39" s="2">
        <v>-3145.1201169999999</v>
      </c>
      <c r="J39" s="2">
        <v>30.939248920000001</v>
      </c>
      <c r="K39" s="2">
        <v>3.093924892</v>
      </c>
      <c r="L39" s="2">
        <v>5.1565414860000001</v>
      </c>
      <c r="M39" s="2">
        <v>2.861111111</v>
      </c>
      <c r="N39" s="2">
        <v>-1200</v>
      </c>
      <c r="O39" s="27">
        <f t="shared" si="0"/>
        <v>45188.044001357208</v>
      </c>
      <c r="R39" s="2">
        <v>20</v>
      </c>
      <c r="S39" s="1" t="s">
        <v>39</v>
      </c>
      <c r="T39" s="2" t="s">
        <v>27</v>
      </c>
      <c r="U39" s="2" t="s">
        <v>35</v>
      </c>
      <c r="V39" s="2" t="s">
        <v>32</v>
      </c>
      <c r="W39" s="2" t="s">
        <v>27</v>
      </c>
      <c r="X39" s="1" t="s">
        <v>30</v>
      </c>
      <c r="Y39" s="2" t="s">
        <v>30</v>
      </c>
      <c r="Z39" s="2" t="s">
        <v>38</v>
      </c>
      <c r="AA39" s="2" t="s">
        <v>33</v>
      </c>
      <c r="AC39" s="25"/>
    </row>
    <row r="40" spans="1:29" s="2" customFormat="1" x14ac:dyDescent="0.55000000000000004">
      <c r="A40" s="2" t="s">
        <v>68</v>
      </c>
      <c r="B40" s="2">
        <v>37</v>
      </c>
      <c r="C40" s="2">
        <v>130.4162278</v>
      </c>
      <c r="D40" s="2">
        <v>79.057489540000006</v>
      </c>
      <c r="E40" s="2" t="s">
        <v>24</v>
      </c>
      <c r="F40" s="2" t="s">
        <v>24</v>
      </c>
      <c r="G40" s="2" t="s">
        <v>24</v>
      </c>
      <c r="H40" s="2" t="s">
        <v>24</v>
      </c>
      <c r="I40" s="2">
        <v>-2969.982422</v>
      </c>
      <c r="J40" s="2">
        <v>30.940457380000002</v>
      </c>
      <c r="K40" s="2">
        <v>3.0940457380000002</v>
      </c>
      <c r="L40" s="2">
        <v>5.1567428959999999</v>
      </c>
      <c r="M40" s="2">
        <v>2.861111111</v>
      </c>
      <c r="N40" s="2">
        <v>-1200</v>
      </c>
      <c r="O40" s="27">
        <f t="shared" si="0"/>
        <v>45188.3780786075</v>
      </c>
      <c r="R40" s="2">
        <v>20</v>
      </c>
      <c r="S40" s="1"/>
      <c r="T40" s="2" t="s">
        <v>27</v>
      </c>
      <c r="U40" s="2" t="s">
        <v>35</v>
      </c>
      <c r="V40" s="2" t="s">
        <v>32</v>
      </c>
      <c r="W40" s="2" t="s">
        <v>27</v>
      </c>
      <c r="X40" s="1" t="s">
        <v>30</v>
      </c>
      <c r="Y40" s="2" t="s">
        <v>30</v>
      </c>
      <c r="Z40" s="2" t="s">
        <v>38</v>
      </c>
      <c r="AB40" s="2" t="s">
        <v>275</v>
      </c>
      <c r="AC40" s="25"/>
    </row>
    <row r="41" spans="1:29" s="2" customFormat="1" x14ac:dyDescent="0.55000000000000004">
      <c r="A41" s="2" t="s">
        <v>68</v>
      </c>
      <c r="B41" s="2">
        <v>38</v>
      </c>
      <c r="C41" s="32">
        <v>128.13552179999999</v>
      </c>
      <c r="D41" s="32">
        <v>78.787319980000007</v>
      </c>
      <c r="E41" s="2" t="s">
        <v>24</v>
      </c>
      <c r="F41" s="2" t="s">
        <v>24</v>
      </c>
      <c r="G41" s="2" t="s">
        <v>24</v>
      </c>
      <c r="H41" s="2" t="s">
        <v>24</v>
      </c>
      <c r="I41" s="2">
        <v>-2820.357422</v>
      </c>
      <c r="J41" s="2">
        <v>30.94046548</v>
      </c>
      <c r="K41" s="2">
        <v>3.0940465480000001</v>
      </c>
      <c r="L41" s="2">
        <v>5.1567442459999997</v>
      </c>
      <c r="M41" s="2">
        <v>2.861111111</v>
      </c>
      <c r="N41" s="2">
        <v>-1200</v>
      </c>
      <c r="O41" s="27">
        <f t="shared" si="0"/>
        <v>45188.712155914043</v>
      </c>
      <c r="R41" s="2">
        <v>20</v>
      </c>
      <c r="S41" s="1"/>
      <c r="T41" s="2" t="s">
        <v>27</v>
      </c>
      <c r="U41" s="2" t="s">
        <v>35</v>
      </c>
      <c r="V41" s="2" t="s">
        <v>32</v>
      </c>
      <c r="W41" s="2" t="s">
        <v>27</v>
      </c>
      <c r="X41" s="1" t="s">
        <v>30</v>
      </c>
      <c r="Y41" s="2" t="s">
        <v>30</v>
      </c>
      <c r="Z41" s="2" t="s">
        <v>38</v>
      </c>
      <c r="AC41" s="25"/>
    </row>
    <row r="42" spans="1:29" s="2" customFormat="1" x14ac:dyDescent="0.55000000000000004">
      <c r="A42" s="2" t="s">
        <v>69</v>
      </c>
      <c r="B42" s="2">
        <v>39</v>
      </c>
      <c r="C42" s="2">
        <v>125.964</v>
      </c>
      <c r="D42" s="2">
        <v>78.500666670000001</v>
      </c>
      <c r="E42" s="2">
        <v>1</v>
      </c>
      <c r="F42" s="2" t="s">
        <v>51</v>
      </c>
      <c r="G42" s="2">
        <v>1</v>
      </c>
      <c r="H42" s="2">
        <v>1</v>
      </c>
      <c r="I42" s="2">
        <v>-2702.9250489999999</v>
      </c>
      <c r="J42" s="2">
        <v>30.939273050000001</v>
      </c>
      <c r="K42" s="2">
        <v>3.0939273049999998</v>
      </c>
      <c r="L42" s="2">
        <v>5.1565455079999998</v>
      </c>
      <c r="M42" s="2">
        <v>5.3627361379999998</v>
      </c>
      <c r="N42" s="2">
        <v>-2702.9250489999999</v>
      </c>
      <c r="O42" s="27">
        <f t="shared" si="0"/>
        <v>45189.046224939833</v>
      </c>
      <c r="P42" s="2">
        <v>24</v>
      </c>
      <c r="R42" s="2">
        <v>23</v>
      </c>
      <c r="S42" s="1" t="s">
        <v>50</v>
      </c>
      <c r="T42" s="2" t="s">
        <v>42</v>
      </c>
      <c r="U42" s="2" t="s">
        <v>30</v>
      </c>
      <c r="V42" s="2" t="s">
        <v>32</v>
      </c>
      <c r="W42" s="2" t="s">
        <v>27</v>
      </c>
      <c r="X42" s="1" t="s">
        <v>30</v>
      </c>
      <c r="Y42" s="2" t="s">
        <v>30</v>
      </c>
      <c r="Z42" s="2" t="s">
        <v>30</v>
      </c>
      <c r="AA42" s="2" t="s">
        <v>33</v>
      </c>
      <c r="AC42" s="24" t="s">
        <v>62</v>
      </c>
    </row>
    <row r="43" spans="1:29" s="2" customFormat="1" x14ac:dyDescent="0.55000000000000004">
      <c r="A43" s="2" t="s">
        <v>69</v>
      </c>
      <c r="B43" s="2">
        <v>40</v>
      </c>
      <c r="C43" s="2">
        <v>125.9600207</v>
      </c>
      <c r="D43" s="2">
        <v>79.077685430000002</v>
      </c>
      <c r="E43" s="2" t="s">
        <v>24</v>
      </c>
      <c r="F43" s="2" t="s">
        <v>24</v>
      </c>
      <c r="G43" s="2" t="s">
        <v>24</v>
      </c>
      <c r="H43" s="2" t="s">
        <v>24</v>
      </c>
      <c r="I43" s="2">
        <v>-2954.8923340000001</v>
      </c>
      <c r="J43" s="2">
        <v>34.683323710000003</v>
      </c>
      <c r="K43" s="2">
        <v>3.4683323709999998</v>
      </c>
      <c r="L43" s="2">
        <v>5.7805539509999999</v>
      </c>
      <c r="M43" s="2">
        <v>2.861111111</v>
      </c>
      <c r="N43" s="2">
        <v>-1200</v>
      </c>
      <c r="O43" s="27">
        <f t="shared" si="0"/>
        <v>45190.510528693543</v>
      </c>
      <c r="R43" s="2">
        <v>20</v>
      </c>
      <c r="S43" s="1" t="s">
        <v>34</v>
      </c>
      <c r="T43" s="2" t="s">
        <v>27</v>
      </c>
      <c r="U43" s="2" t="s">
        <v>35</v>
      </c>
      <c r="V43" s="2" t="s">
        <v>32</v>
      </c>
      <c r="W43" s="2" t="s">
        <v>27</v>
      </c>
      <c r="X43" s="1" t="s">
        <v>30</v>
      </c>
      <c r="Y43" s="2" t="s">
        <v>30</v>
      </c>
      <c r="Z43" s="2" t="s">
        <v>38</v>
      </c>
      <c r="AC43" s="25"/>
    </row>
    <row r="44" spans="1:29" x14ac:dyDescent="0.55000000000000004">
      <c r="A44" t="s">
        <v>69</v>
      </c>
      <c r="B44">
        <v>41</v>
      </c>
      <c r="C44">
        <v>125.955603</v>
      </c>
      <c r="D44">
        <v>79.654734239999996</v>
      </c>
      <c r="E44" t="s">
        <v>24</v>
      </c>
      <c r="F44" t="s">
        <v>24</v>
      </c>
      <c r="G44" t="s">
        <v>24</v>
      </c>
      <c r="H44" t="s">
        <v>24</v>
      </c>
      <c r="I44">
        <v>-3265.5852049999999</v>
      </c>
      <c r="J44">
        <v>34.685133450000002</v>
      </c>
      <c r="K44">
        <v>3.4685133449999999</v>
      </c>
      <c r="L44">
        <v>5.7808555750000004</v>
      </c>
      <c r="M44">
        <v>2.861111111</v>
      </c>
      <c r="N44">
        <v>-1200</v>
      </c>
      <c r="O44" s="26">
        <f t="shared" si="0"/>
        <v>45190.870610638791</v>
      </c>
      <c r="R44">
        <v>20</v>
      </c>
      <c r="S44" s="1" t="s">
        <v>39</v>
      </c>
      <c r="T44" s="2" t="s">
        <v>42</v>
      </c>
      <c r="U44" s="2" t="s">
        <v>35</v>
      </c>
      <c r="V44" s="2" t="s">
        <v>32</v>
      </c>
      <c r="W44" s="2" t="s">
        <v>27</v>
      </c>
      <c r="X44" s="3" t="s">
        <v>30</v>
      </c>
      <c r="Y44" s="4" t="s">
        <v>30</v>
      </c>
      <c r="Z44" s="4" t="s">
        <v>38</v>
      </c>
      <c r="AA44" s="4" t="s">
        <v>33</v>
      </c>
    </row>
    <row r="45" spans="1:29" x14ac:dyDescent="0.55000000000000004">
      <c r="A45" t="s">
        <v>69</v>
      </c>
      <c r="B45">
        <v>42</v>
      </c>
      <c r="C45">
        <v>125.9506695</v>
      </c>
      <c r="D45">
        <v>80.231784930000003</v>
      </c>
      <c r="E45" t="s">
        <v>24</v>
      </c>
      <c r="F45" t="s">
        <v>24</v>
      </c>
      <c r="G45">
        <v>1</v>
      </c>
      <c r="H45" t="s">
        <v>24</v>
      </c>
      <c r="I45">
        <v>-3521.6499020000001</v>
      </c>
      <c r="J45">
        <v>34.685250430000004</v>
      </c>
      <c r="K45">
        <v>3.4685250430000001</v>
      </c>
      <c r="L45">
        <v>5.7808750719999997</v>
      </c>
      <c r="M45">
        <v>4.5277777779999999</v>
      </c>
      <c r="N45">
        <v>-1200</v>
      </c>
      <c r="O45" s="26">
        <f t="shared" si="0"/>
        <v>45191.230693396414</v>
      </c>
      <c r="R45">
        <v>20</v>
      </c>
      <c r="S45" s="1" t="s">
        <v>34</v>
      </c>
      <c r="T45" s="2" t="s">
        <v>27</v>
      </c>
      <c r="U45" s="2" t="s">
        <v>35</v>
      </c>
      <c r="V45" s="2" t="s">
        <v>32</v>
      </c>
      <c r="W45" s="2" t="s">
        <v>27</v>
      </c>
      <c r="X45" s="3" t="s">
        <v>30</v>
      </c>
      <c r="Y45" s="4" t="s">
        <v>30</v>
      </c>
      <c r="Z45" s="4" t="s">
        <v>38</v>
      </c>
      <c r="AA45" s="4">
        <v>0</v>
      </c>
    </row>
    <row r="46" spans="1:29" x14ac:dyDescent="0.55000000000000004">
      <c r="A46" t="s">
        <v>69</v>
      </c>
      <c r="B46">
        <v>43</v>
      </c>
      <c r="C46">
        <v>125.94512330000001</v>
      </c>
      <c r="D46">
        <v>80.808809330000003</v>
      </c>
      <c r="E46" t="s">
        <v>24</v>
      </c>
      <c r="F46" t="s">
        <v>24</v>
      </c>
      <c r="G46" t="s">
        <v>24</v>
      </c>
      <c r="H46" t="s">
        <v>24</v>
      </c>
      <c r="I46">
        <v>-3781.6176759999998</v>
      </c>
      <c r="J46">
        <v>34.683675129999997</v>
      </c>
      <c r="K46">
        <v>3.468367513</v>
      </c>
      <c r="L46">
        <v>5.7806125210000001</v>
      </c>
      <c r="M46">
        <v>2.861111111</v>
      </c>
      <c r="N46">
        <v>-1200</v>
      </c>
      <c r="O46" s="26">
        <f t="shared" si="0"/>
        <v>45191.660209658869</v>
      </c>
      <c r="R46">
        <v>20</v>
      </c>
      <c r="S46" s="1" t="s">
        <v>39</v>
      </c>
      <c r="T46" s="2" t="s">
        <v>42</v>
      </c>
      <c r="U46" s="2" t="s">
        <v>35</v>
      </c>
      <c r="V46" s="2" t="s">
        <v>32</v>
      </c>
      <c r="W46" s="2" t="s">
        <v>27</v>
      </c>
      <c r="X46" s="3" t="s">
        <v>30</v>
      </c>
      <c r="Y46" s="4" t="s">
        <v>30</v>
      </c>
      <c r="Z46" s="4" t="s">
        <v>38</v>
      </c>
    </row>
    <row r="47" spans="1:29" x14ac:dyDescent="0.55000000000000004">
      <c r="A47" t="s">
        <v>69</v>
      </c>
      <c r="B47">
        <v>44</v>
      </c>
      <c r="C47">
        <v>125.9388417</v>
      </c>
      <c r="D47">
        <v>81.385779290000002</v>
      </c>
      <c r="E47" t="s">
        <v>24</v>
      </c>
      <c r="F47" t="s">
        <v>24</v>
      </c>
      <c r="G47" t="s">
        <v>24</v>
      </c>
      <c r="H47" t="s">
        <v>24</v>
      </c>
      <c r="I47">
        <v>-3977.955078</v>
      </c>
      <c r="J47">
        <v>34.680408479999997</v>
      </c>
      <c r="K47">
        <v>3.4680408479999998</v>
      </c>
      <c r="L47">
        <v>5.7800680800000004</v>
      </c>
      <c r="M47">
        <v>2.861111111</v>
      </c>
      <c r="N47">
        <v>-1200</v>
      </c>
      <c r="O47" s="26">
        <f t="shared" si="0"/>
        <v>45192.020258791825</v>
      </c>
      <c r="R47">
        <v>20</v>
      </c>
      <c r="S47" s="1" t="s">
        <v>34</v>
      </c>
      <c r="T47" s="2" t="s">
        <v>27</v>
      </c>
      <c r="U47" s="2" t="s">
        <v>35</v>
      </c>
      <c r="V47" s="2" t="s">
        <v>32</v>
      </c>
      <c r="W47" s="2" t="s">
        <v>27</v>
      </c>
      <c r="X47" s="3" t="s">
        <v>30</v>
      </c>
      <c r="Y47" s="4" t="s">
        <v>30</v>
      </c>
      <c r="Z47" s="4" t="s">
        <v>38</v>
      </c>
    </row>
    <row r="48" spans="1:29" x14ac:dyDescent="0.55000000000000004">
      <c r="A48" t="s">
        <v>69</v>
      </c>
      <c r="B48">
        <v>45</v>
      </c>
      <c r="C48">
        <v>125.93166669999999</v>
      </c>
      <c r="D48">
        <v>81.962666670000004</v>
      </c>
      <c r="E48" t="s">
        <v>24</v>
      </c>
      <c r="F48" t="s">
        <v>24</v>
      </c>
      <c r="G48">
        <v>1</v>
      </c>
      <c r="H48">
        <v>1</v>
      </c>
      <c r="I48">
        <v>-3975.0625</v>
      </c>
      <c r="J48">
        <v>34.675451899999999</v>
      </c>
      <c r="K48">
        <v>3.4675451900000001</v>
      </c>
      <c r="L48">
        <v>5.7792419830000004</v>
      </c>
      <c r="M48" t="s">
        <v>24</v>
      </c>
      <c r="N48">
        <v>-3975.0625</v>
      </c>
      <c r="O48" s="26">
        <f t="shared" si="0"/>
        <v>45192.380273504074</v>
      </c>
      <c r="R48">
        <v>24</v>
      </c>
      <c r="S48" s="1" t="s">
        <v>52</v>
      </c>
      <c r="T48" s="2" t="s">
        <v>42</v>
      </c>
      <c r="U48" s="2" t="s">
        <v>30</v>
      </c>
      <c r="V48" s="2" t="s">
        <v>32</v>
      </c>
      <c r="W48" s="2" t="s">
        <v>27</v>
      </c>
      <c r="X48" s="3" t="s">
        <v>30</v>
      </c>
      <c r="Y48" s="4" t="s">
        <v>30</v>
      </c>
      <c r="Z48" s="4" t="s">
        <v>30</v>
      </c>
      <c r="AC48" s="6" t="s">
        <v>63</v>
      </c>
    </row>
    <row r="49" spans="17:29" x14ac:dyDescent="0.55000000000000004">
      <c r="Q49" t="s">
        <v>70</v>
      </c>
      <c r="S49" s="1">
        <v>114</v>
      </c>
      <c r="T49" s="2">
        <v>135</v>
      </c>
      <c r="U49" s="2">
        <v>736</v>
      </c>
      <c r="V49" s="2">
        <v>268</v>
      </c>
      <c r="W49" s="2">
        <f>45-13 + (13*2)</f>
        <v>58</v>
      </c>
      <c r="X49" s="3">
        <f>SUM(R3:R48)</f>
        <v>842</v>
      </c>
      <c r="Y49" s="4">
        <f>SUM(R4:R48)</f>
        <v>840</v>
      </c>
      <c r="Z49" s="4">
        <v>771</v>
      </c>
      <c r="AA49" s="4">
        <v>17</v>
      </c>
      <c r="AB49" s="3">
        <f>SUM(R3:R48)</f>
        <v>842</v>
      </c>
      <c r="AC49" s="5">
        <f>SUM(12, 11, 11, 10, 10, 11,11,11,10) +2</f>
        <v>99</v>
      </c>
    </row>
    <row r="50" spans="17:29" x14ac:dyDescent="0.55000000000000004">
      <c r="Y50" s="4" t="s">
        <v>53</v>
      </c>
      <c r="Z50" s="4" t="s">
        <v>55</v>
      </c>
      <c r="AA50" s="4" t="s">
        <v>54</v>
      </c>
    </row>
    <row r="51" spans="17:29" x14ac:dyDescent="0.55000000000000004">
      <c r="AA51" s="4" t="s">
        <v>56</v>
      </c>
      <c r="AB51" s="4" t="s">
        <v>57</v>
      </c>
      <c r="AC51" s="5" t="s">
        <v>58</v>
      </c>
    </row>
  </sheetData>
  <mergeCells count="2">
    <mergeCell ref="S1:W1"/>
    <mergeCell ref="X1:A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89"/>
  <sheetViews>
    <sheetView tabSelected="1" workbookViewId="0">
      <pane xSplit="5" ySplit="1" topLeftCell="F299" activePane="bottomRight" state="frozen"/>
      <selection pane="topRight" activeCell="F1" sqref="F1"/>
      <selection pane="bottomLeft" activeCell="A2" sqref="A2"/>
      <selection pane="bottomRight" activeCell="I315" sqref="I315"/>
    </sheetView>
  </sheetViews>
  <sheetFormatPr defaultColWidth="18" defaultRowHeight="14.4" x14ac:dyDescent="0.55000000000000004"/>
  <cols>
    <col min="1" max="1" width="6.7890625" style="7" bestFit="1" customWidth="1"/>
    <col min="2" max="2" width="11" style="7" bestFit="1" customWidth="1"/>
    <col min="3" max="3" width="7.89453125" style="7" bestFit="1" customWidth="1"/>
    <col min="4" max="4" width="15.1015625" style="7" bestFit="1" customWidth="1"/>
    <col min="5" max="5" width="18" style="7"/>
    <col min="6" max="6" width="3.41796875" style="7" bestFit="1" customWidth="1"/>
    <col min="7" max="7" width="4.68359375" style="7" bestFit="1" customWidth="1"/>
    <col min="8" max="8" width="5.7890625" style="7" bestFit="1" customWidth="1"/>
    <col min="9" max="9" width="3.3125" style="7" bestFit="1" customWidth="1"/>
    <col min="10" max="10" width="5.7890625" style="7" customWidth="1"/>
    <col min="11" max="12" width="4.20703125" style="7" customWidth="1"/>
    <col min="13" max="13" width="10.41796875" style="7" bestFit="1" customWidth="1"/>
    <col min="14" max="14" width="8.68359375" style="7" bestFit="1" customWidth="1"/>
    <col min="15" max="15" width="10.89453125" style="7" bestFit="1" customWidth="1"/>
    <col min="16" max="16" width="4.20703125" style="7" bestFit="1" customWidth="1"/>
    <col min="17" max="17" width="3.68359375" style="7" bestFit="1" customWidth="1"/>
    <col min="18" max="18" width="5.68359375" style="7" bestFit="1" customWidth="1"/>
    <col min="19" max="19" width="3.20703125" style="7" bestFit="1" customWidth="1"/>
    <col min="20" max="20" width="24.89453125" style="7" bestFit="1" customWidth="1"/>
    <col min="21" max="16384" width="18" style="7"/>
  </cols>
  <sheetData>
    <row r="1" spans="1:23" s="10" customFormat="1" ht="16.8" x14ac:dyDescent="0.55000000000000004">
      <c r="A1" s="10" t="s">
        <v>72</v>
      </c>
      <c r="B1" s="10" t="s">
        <v>73</v>
      </c>
      <c r="C1" s="10" t="s">
        <v>74</v>
      </c>
      <c r="D1" s="10" t="s">
        <v>75</v>
      </c>
      <c r="E1" s="10" t="s">
        <v>76</v>
      </c>
      <c r="F1" s="10" t="s">
        <v>14</v>
      </c>
      <c r="G1" s="10" t="s">
        <v>80</v>
      </c>
      <c r="H1" s="11" t="s">
        <v>82</v>
      </c>
      <c r="I1" s="10" t="s">
        <v>117</v>
      </c>
      <c r="J1" s="10" t="s">
        <v>16</v>
      </c>
      <c r="K1" s="10" t="s">
        <v>86</v>
      </c>
      <c r="L1" s="10" t="s">
        <v>87</v>
      </c>
      <c r="M1" s="10" t="s">
        <v>85</v>
      </c>
      <c r="N1" s="10" t="s">
        <v>81</v>
      </c>
      <c r="O1" s="10" t="s">
        <v>84</v>
      </c>
      <c r="P1" s="10" t="s">
        <v>83</v>
      </c>
      <c r="Q1" s="10" t="s">
        <v>15</v>
      </c>
      <c r="R1" s="10" t="s">
        <v>813</v>
      </c>
      <c r="S1" s="10" t="s">
        <v>21</v>
      </c>
      <c r="T1" s="10" t="s">
        <v>12</v>
      </c>
      <c r="U1" s="10" t="s">
        <v>815</v>
      </c>
      <c r="V1" s="10" t="s">
        <v>816</v>
      </c>
    </row>
    <row r="2" spans="1:23" x14ac:dyDescent="0.55000000000000004">
      <c r="A2" s="7">
        <v>0</v>
      </c>
      <c r="B2" s="7">
        <v>1</v>
      </c>
      <c r="C2" s="7">
        <v>1</v>
      </c>
      <c r="D2" s="7">
        <v>1063</v>
      </c>
      <c r="E2" s="7" t="s">
        <v>79</v>
      </c>
      <c r="F2" s="7">
        <v>1</v>
      </c>
      <c r="T2" s="7" t="s">
        <v>88</v>
      </c>
      <c r="U2" s="7">
        <f xml:space="preserve"> SUM(F2:F1336)</f>
        <v>47</v>
      </c>
      <c r="V2" s="7">
        <f>SUM(G2:G1279)</f>
        <v>701</v>
      </c>
    </row>
    <row r="3" spans="1:23" x14ac:dyDescent="0.55000000000000004">
      <c r="A3" s="7">
        <v>0</v>
      </c>
      <c r="B3" s="7">
        <v>1</v>
      </c>
      <c r="C3" s="7">
        <f>C2+1</f>
        <v>2</v>
      </c>
      <c r="D3" s="7">
        <v>1064</v>
      </c>
      <c r="T3" s="7" t="s">
        <v>89</v>
      </c>
    </row>
    <row r="4" spans="1:23" x14ac:dyDescent="0.55000000000000004">
      <c r="A4" s="7">
        <v>0</v>
      </c>
      <c r="B4" s="7">
        <v>1</v>
      </c>
      <c r="C4" s="7">
        <f t="shared" ref="C4:C25" si="0">C3+1</f>
        <v>3</v>
      </c>
      <c r="D4" s="7">
        <v>6.4</v>
      </c>
      <c r="T4" s="7" t="s">
        <v>89</v>
      </c>
      <c r="U4" s="7" t="s">
        <v>817</v>
      </c>
      <c r="V4" s="7" t="s">
        <v>818</v>
      </c>
    </row>
    <row r="5" spans="1:23" x14ac:dyDescent="0.55000000000000004">
      <c r="A5" s="7">
        <v>0</v>
      </c>
      <c r="B5" s="7">
        <v>1</v>
      </c>
      <c r="C5" s="7">
        <f t="shared" si="0"/>
        <v>4</v>
      </c>
      <c r="D5" s="7">
        <v>6.4</v>
      </c>
      <c r="T5" s="7" t="s">
        <v>89</v>
      </c>
      <c r="U5" s="7">
        <f>SUM(H2:H1500)</f>
        <v>483</v>
      </c>
      <c r="V5" s="7">
        <f>SUM(I4:I1452)</f>
        <v>700</v>
      </c>
    </row>
    <row r="6" spans="1:23" x14ac:dyDescent="0.55000000000000004">
      <c r="A6" s="7">
        <v>0</v>
      </c>
      <c r="B6" s="7">
        <v>1</v>
      </c>
      <c r="C6" s="7">
        <f t="shared" si="0"/>
        <v>5</v>
      </c>
      <c r="D6" s="7">
        <v>6.4</v>
      </c>
      <c r="T6" s="7" t="s">
        <v>90</v>
      </c>
      <c r="U6" s="7" t="s">
        <v>819</v>
      </c>
      <c r="V6" s="7" t="s">
        <v>820</v>
      </c>
    </row>
    <row r="7" spans="1:23" x14ac:dyDescent="0.55000000000000004">
      <c r="A7" s="7">
        <v>0</v>
      </c>
      <c r="B7" s="7">
        <v>1</v>
      </c>
      <c r="C7" s="7">
        <f t="shared" si="0"/>
        <v>6</v>
      </c>
      <c r="D7" s="7">
        <v>6.4</v>
      </c>
      <c r="U7" s="7">
        <f>SUM(J4:J1452)</f>
        <v>213</v>
      </c>
      <c r="V7" s="7">
        <f>SUM(O4:O1452)</f>
        <v>102</v>
      </c>
    </row>
    <row r="8" spans="1:23" x14ac:dyDescent="0.55000000000000004">
      <c r="A8" s="7">
        <v>0</v>
      </c>
      <c r="B8" s="7">
        <v>1</v>
      </c>
      <c r="C8" s="7">
        <f t="shared" si="0"/>
        <v>7</v>
      </c>
      <c r="D8" s="7">
        <v>5.3</v>
      </c>
      <c r="U8" s="7" t="s">
        <v>821</v>
      </c>
      <c r="V8" s="7" t="s">
        <v>822</v>
      </c>
      <c r="W8" s="7">
        <f>162/2</f>
        <v>81</v>
      </c>
    </row>
    <row r="9" spans="1:23" x14ac:dyDescent="0.55000000000000004">
      <c r="A9" s="7">
        <v>0</v>
      </c>
      <c r="B9" s="7">
        <v>1</v>
      </c>
      <c r="C9" s="7">
        <f t="shared" si="0"/>
        <v>8</v>
      </c>
      <c r="D9" s="7">
        <v>5.3</v>
      </c>
      <c r="U9" s="7">
        <f>SUM(M4:N1439)</f>
        <v>171</v>
      </c>
      <c r="V9" s="7">
        <f>SUM(P2:P1452)</f>
        <v>545</v>
      </c>
      <c r="W9" s="7">
        <f>81+102</f>
        <v>183</v>
      </c>
    </row>
    <row r="10" spans="1:23" x14ac:dyDescent="0.55000000000000004">
      <c r="A10" s="7">
        <v>0</v>
      </c>
      <c r="B10" s="7">
        <v>1</v>
      </c>
      <c r="C10" s="7">
        <f t="shared" si="0"/>
        <v>9</v>
      </c>
      <c r="D10" s="7">
        <v>5.3</v>
      </c>
      <c r="U10" s="7" t="s">
        <v>823</v>
      </c>
      <c r="V10" s="7" t="s">
        <v>20</v>
      </c>
    </row>
    <row r="11" spans="1:23" x14ac:dyDescent="0.55000000000000004">
      <c r="A11" s="7">
        <v>0</v>
      </c>
      <c r="B11" s="7">
        <v>1</v>
      </c>
      <c r="C11" s="7">
        <f t="shared" si="0"/>
        <v>10</v>
      </c>
      <c r="D11" s="7">
        <v>4.7</v>
      </c>
      <c r="T11" s="7" t="s">
        <v>91</v>
      </c>
      <c r="U11" s="7">
        <f>SUM(Q2:Q1452)</f>
        <v>128</v>
      </c>
      <c r="V11" s="7">
        <f>SUM(R2:R1452)</f>
        <v>34</v>
      </c>
    </row>
    <row r="12" spans="1:23" x14ac:dyDescent="0.55000000000000004">
      <c r="A12" s="7">
        <v>0</v>
      </c>
      <c r="B12" s="7">
        <v>1</v>
      </c>
      <c r="C12" s="7">
        <f t="shared" si="0"/>
        <v>11</v>
      </c>
      <c r="D12" s="7">
        <v>4.7</v>
      </c>
      <c r="T12" s="7" t="s">
        <v>92</v>
      </c>
      <c r="U12" s="7" t="s">
        <v>21</v>
      </c>
    </row>
    <row r="13" spans="1:23" x14ac:dyDescent="0.55000000000000004">
      <c r="A13" s="7">
        <v>0</v>
      </c>
      <c r="B13" s="7">
        <v>1</v>
      </c>
      <c r="C13" s="7">
        <f t="shared" si="0"/>
        <v>12</v>
      </c>
      <c r="D13" s="7">
        <v>4</v>
      </c>
      <c r="E13" s="7" t="s">
        <v>78</v>
      </c>
      <c r="K13" s="7">
        <v>1</v>
      </c>
      <c r="U13" s="7">
        <f>SUM(S2:S1452)</f>
        <v>9</v>
      </c>
    </row>
    <row r="14" spans="1:23" x14ac:dyDescent="0.55000000000000004">
      <c r="A14" s="7">
        <v>0</v>
      </c>
      <c r="B14" s="7">
        <v>1</v>
      </c>
      <c r="C14" s="7">
        <f t="shared" si="0"/>
        <v>13</v>
      </c>
      <c r="D14" s="7">
        <v>4</v>
      </c>
      <c r="E14" s="7" t="s">
        <v>78</v>
      </c>
      <c r="K14" s="7">
        <v>1</v>
      </c>
    </row>
    <row r="15" spans="1:23" x14ac:dyDescent="0.55000000000000004">
      <c r="A15" s="7">
        <v>0</v>
      </c>
      <c r="B15" s="7">
        <v>1</v>
      </c>
      <c r="C15" s="7">
        <f t="shared" si="0"/>
        <v>14</v>
      </c>
      <c r="D15" s="7">
        <v>4</v>
      </c>
      <c r="E15" s="7" t="s">
        <v>78</v>
      </c>
      <c r="K15" s="7">
        <v>1</v>
      </c>
    </row>
    <row r="16" spans="1:23" x14ac:dyDescent="0.55000000000000004">
      <c r="A16" s="7">
        <v>0</v>
      </c>
      <c r="B16" s="7">
        <v>1</v>
      </c>
      <c r="C16" s="7">
        <f t="shared" si="0"/>
        <v>15</v>
      </c>
      <c r="D16" s="7">
        <v>4</v>
      </c>
      <c r="E16" s="7" t="s">
        <v>78</v>
      </c>
      <c r="K16" s="7">
        <v>1</v>
      </c>
      <c r="U16" s="7" t="s">
        <v>824</v>
      </c>
    </row>
    <row r="17" spans="1:21" x14ac:dyDescent="0.55000000000000004">
      <c r="A17" s="7">
        <v>0</v>
      </c>
      <c r="B17" s="7">
        <v>1</v>
      </c>
      <c r="C17" s="7">
        <f t="shared" si="0"/>
        <v>16</v>
      </c>
      <c r="D17" s="7">
        <v>4</v>
      </c>
      <c r="E17" s="7" t="s">
        <v>78</v>
      </c>
      <c r="K17" s="7">
        <v>1</v>
      </c>
      <c r="U17" s="7">
        <f>SUM(U13,U11,V11,V9,U9,U7,V7,V5,U5,U2,V2)</f>
        <v>3133</v>
      </c>
    </row>
    <row r="18" spans="1:21" x14ac:dyDescent="0.55000000000000004">
      <c r="A18" s="7">
        <v>0</v>
      </c>
      <c r="B18" s="7">
        <v>1</v>
      </c>
      <c r="C18" s="7">
        <f t="shared" si="0"/>
        <v>17</v>
      </c>
      <c r="D18" s="7">
        <v>4</v>
      </c>
      <c r="E18" s="7" t="s">
        <v>78</v>
      </c>
      <c r="K18" s="7">
        <v>1</v>
      </c>
    </row>
    <row r="19" spans="1:21" x14ac:dyDescent="0.55000000000000004">
      <c r="A19" s="7">
        <v>0</v>
      </c>
      <c r="B19" s="7">
        <v>1</v>
      </c>
      <c r="C19" s="7">
        <f t="shared" si="0"/>
        <v>18</v>
      </c>
      <c r="D19" s="7">
        <v>4</v>
      </c>
      <c r="E19" s="7" t="s">
        <v>78</v>
      </c>
      <c r="K19" s="7">
        <v>1</v>
      </c>
      <c r="U19" s="7">
        <f>3028+95*3</f>
        <v>3313</v>
      </c>
    </row>
    <row r="20" spans="1:21" x14ac:dyDescent="0.55000000000000004">
      <c r="A20" s="7">
        <v>0</v>
      </c>
      <c r="B20" s="7">
        <v>1</v>
      </c>
      <c r="C20" s="7">
        <f t="shared" si="0"/>
        <v>19</v>
      </c>
      <c r="D20" s="7">
        <v>4</v>
      </c>
      <c r="E20" s="7" t="s">
        <v>78</v>
      </c>
      <c r="K20" s="7">
        <v>1</v>
      </c>
    </row>
    <row r="21" spans="1:21" x14ac:dyDescent="0.55000000000000004">
      <c r="A21" s="7">
        <v>0</v>
      </c>
      <c r="B21" s="7">
        <v>1</v>
      </c>
      <c r="C21" s="7">
        <f t="shared" si="0"/>
        <v>20</v>
      </c>
      <c r="D21" s="7">
        <v>4</v>
      </c>
      <c r="E21" s="7" t="s">
        <v>78</v>
      </c>
      <c r="K21" s="7">
        <v>1</v>
      </c>
    </row>
    <row r="22" spans="1:21" x14ac:dyDescent="0.55000000000000004">
      <c r="A22" s="7">
        <v>0</v>
      </c>
      <c r="B22" s="7">
        <v>1</v>
      </c>
      <c r="C22" s="7">
        <f t="shared" si="0"/>
        <v>21</v>
      </c>
      <c r="D22" s="7">
        <v>4</v>
      </c>
      <c r="E22" s="7" t="s">
        <v>78</v>
      </c>
      <c r="K22" s="7">
        <v>1</v>
      </c>
      <c r="U22" s="7">
        <f>499+95</f>
        <v>594</v>
      </c>
    </row>
    <row r="23" spans="1:21" x14ac:dyDescent="0.55000000000000004">
      <c r="A23" s="7">
        <v>0</v>
      </c>
      <c r="B23" s="7">
        <v>1</v>
      </c>
      <c r="C23" s="7">
        <f t="shared" si="0"/>
        <v>22</v>
      </c>
      <c r="D23" s="7">
        <v>4</v>
      </c>
      <c r="E23" s="7" t="s">
        <v>78</v>
      </c>
      <c r="K23" s="7">
        <v>1</v>
      </c>
    </row>
    <row r="24" spans="1:21" x14ac:dyDescent="0.55000000000000004">
      <c r="A24" s="7">
        <v>0</v>
      </c>
      <c r="B24" s="7">
        <v>1</v>
      </c>
      <c r="C24" s="7">
        <f t="shared" si="0"/>
        <v>23</v>
      </c>
      <c r="D24" s="7">
        <v>4</v>
      </c>
      <c r="E24" s="7" t="s">
        <v>78</v>
      </c>
      <c r="K24" s="7">
        <v>1</v>
      </c>
    </row>
    <row r="25" spans="1:21" x14ac:dyDescent="0.55000000000000004">
      <c r="A25" s="7">
        <v>0</v>
      </c>
      <c r="B25" s="7">
        <v>1</v>
      </c>
      <c r="C25" s="7">
        <f t="shared" si="0"/>
        <v>24</v>
      </c>
      <c r="D25" s="7">
        <v>4</v>
      </c>
      <c r="E25" s="7" t="s">
        <v>78</v>
      </c>
      <c r="F25" s="7">
        <v>1</v>
      </c>
      <c r="G25" s="7">
        <v>1</v>
      </c>
      <c r="J25" s="7">
        <v>1</v>
      </c>
      <c r="M25" s="7">
        <v>1</v>
      </c>
      <c r="N25" s="7">
        <v>1</v>
      </c>
    </row>
    <row r="26" spans="1:21" x14ac:dyDescent="0.55000000000000004">
      <c r="A26" s="7">
        <v>1</v>
      </c>
      <c r="B26" s="7">
        <v>1</v>
      </c>
      <c r="C26" s="7">
        <v>1</v>
      </c>
      <c r="D26" s="7">
        <v>37</v>
      </c>
      <c r="E26" s="7" t="s">
        <v>120</v>
      </c>
      <c r="K26" s="8">
        <v>1</v>
      </c>
    </row>
    <row r="27" spans="1:21" x14ac:dyDescent="0.55000000000000004">
      <c r="A27" s="7">
        <v>1</v>
      </c>
      <c r="B27" s="7">
        <v>1</v>
      </c>
      <c r="C27" s="7">
        <f>C26+1</f>
        <v>2</v>
      </c>
      <c r="D27" s="7">
        <v>37</v>
      </c>
      <c r="E27" s="7" t="s">
        <v>120</v>
      </c>
      <c r="K27" s="8">
        <v>1</v>
      </c>
      <c r="T27" s="7" t="s">
        <v>91</v>
      </c>
    </row>
    <row r="28" spans="1:21" x14ac:dyDescent="0.55000000000000004">
      <c r="A28" s="7">
        <v>1</v>
      </c>
      <c r="B28" s="7">
        <v>1</v>
      </c>
      <c r="C28" s="7">
        <f t="shared" ref="C28:C49" si="1">C27+1</f>
        <v>3</v>
      </c>
      <c r="D28" s="7">
        <v>37</v>
      </c>
      <c r="E28" s="7" t="s">
        <v>120</v>
      </c>
      <c r="K28" s="8">
        <v>1</v>
      </c>
    </row>
    <row r="29" spans="1:21" x14ac:dyDescent="0.55000000000000004">
      <c r="A29" s="7">
        <v>1</v>
      </c>
      <c r="B29" s="7">
        <v>1</v>
      </c>
      <c r="C29" s="7">
        <f t="shared" si="1"/>
        <v>4</v>
      </c>
      <c r="D29" s="7">
        <v>37</v>
      </c>
      <c r="E29" s="7" t="s">
        <v>120</v>
      </c>
      <c r="K29" s="8">
        <v>1</v>
      </c>
      <c r="T29" s="7" t="s">
        <v>91</v>
      </c>
    </row>
    <row r="30" spans="1:21" x14ac:dyDescent="0.55000000000000004">
      <c r="A30" s="7">
        <v>1</v>
      </c>
      <c r="B30" s="7">
        <v>1</v>
      </c>
      <c r="C30" s="7">
        <f t="shared" si="1"/>
        <v>5</v>
      </c>
      <c r="D30" s="7">
        <v>37</v>
      </c>
      <c r="E30" s="7" t="s">
        <v>120</v>
      </c>
      <c r="G30" s="8">
        <v>1</v>
      </c>
      <c r="H30" s="7">
        <v>1</v>
      </c>
      <c r="I30" s="8">
        <v>1</v>
      </c>
      <c r="J30" s="8">
        <v>1</v>
      </c>
      <c r="M30" s="7">
        <v>1</v>
      </c>
      <c r="N30" s="7">
        <v>1</v>
      </c>
      <c r="P30" s="8">
        <v>1</v>
      </c>
    </row>
    <row r="31" spans="1:21" x14ac:dyDescent="0.55000000000000004">
      <c r="A31" s="7">
        <v>1</v>
      </c>
      <c r="B31" s="7">
        <v>1</v>
      </c>
      <c r="C31" s="7">
        <f t="shared" si="1"/>
        <v>6</v>
      </c>
      <c r="D31" s="7">
        <v>30.1</v>
      </c>
      <c r="E31" s="7" t="s">
        <v>121</v>
      </c>
      <c r="K31" s="8">
        <v>1</v>
      </c>
    </row>
    <row r="32" spans="1:21" x14ac:dyDescent="0.55000000000000004">
      <c r="A32" s="7">
        <v>1</v>
      </c>
      <c r="B32" s="7">
        <v>1</v>
      </c>
      <c r="C32" s="7">
        <f t="shared" si="1"/>
        <v>7</v>
      </c>
      <c r="D32" s="7">
        <v>30.1</v>
      </c>
      <c r="E32" s="7" t="s">
        <v>121</v>
      </c>
      <c r="K32" s="8">
        <v>1</v>
      </c>
    </row>
    <row r="33" spans="1:20" x14ac:dyDescent="0.55000000000000004">
      <c r="A33" s="7">
        <v>1</v>
      </c>
      <c r="B33" s="7">
        <v>1</v>
      </c>
      <c r="C33" s="7">
        <f t="shared" si="1"/>
        <v>8</v>
      </c>
      <c r="D33" s="7">
        <v>30.1</v>
      </c>
      <c r="E33" s="7" t="s">
        <v>121</v>
      </c>
      <c r="K33" s="8">
        <v>1</v>
      </c>
    </row>
    <row r="34" spans="1:20" x14ac:dyDescent="0.55000000000000004">
      <c r="A34" s="7">
        <v>1</v>
      </c>
      <c r="B34" s="7">
        <v>1</v>
      </c>
      <c r="C34" s="7">
        <f t="shared" si="1"/>
        <v>9</v>
      </c>
      <c r="D34" s="7">
        <v>30.1</v>
      </c>
      <c r="E34" s="7" t="s">
        <v>121</v>
      </c>
      <c r="K34" s="8">
        <v>1</v>
      </c>
    </row>
    <row r="35" spans="1:20" x14ac:dyDescent="0.55000000000000004">
      <c r="A35" s="7">
        <v>1</v>
      </c>
      <c r="B35" s="7">
        <v>1</v>
      </c>
      <c r="C35" s="7">
        <f t="shared" si="1"/>
        <v>10</v>
      </c>
      <c r="D35" s="7">
        <v>30.1</v>
      </c>
      <c r="E35" s="7" t="s">
        <v>121</v>
      </c>
      <c r="G35" s="8">
        <v>1</v>
      </c>
      <c r="H35" s="7">
        <v>1</v>
      </c>
      <c r="I35" s="8">
        <v>1</v>
      </c>
      <c r="J35" s="8">
        <v>1</v>
      </c>
      <c r="M35" s="7">
        <v>1</v>
      </c>
      <c r="N35" s="7">
        <v>1</v>
      </c>
      <c r="P35" s="8">
        <v>1</v>
      </c>
    </row>
    <row r="36" spans="1:20" x14ac:dyDescent="0.55000000000000004">
      <c r="A36" s="7">
        <v>1</v>
      </c>
      <c r="B36" s="7">
        <v>1</v>
      </c>
      <c r="C36" s="7">
        <f t="shared" si="1"/>
        <v>11</v>
      </c>
      <c r="D36" s="7">
        <v>20</v>
      </c>
      <c r="E36" s="7" t="s">
        <v>124</v>
      </c>
      <c r="K36" s="8">
        <v>1</v>
      </c>
      <c r="T36" s="7" t="s">
        <v>127</v>
      </c>
    </row>
    <row r="37" spans="1:20" x14ac:dyDescent="0.55000000000000004">
      <c r="A37" s="7">
        <v>1</v>
      </c>
      <c r="B37" s="7">
        <v>1</v>
      </c>
      <c r="C37" s="7">
        <f t="shared" si="1"/>
        <v>12</v>
      </c>
      <c r="D37" s="7">
        <v>20</v>
      </c>
      <c r="E37" s="7" t="s">
        <v>124</v>
      </c>
      <c r="K37" s="8">
        <v>1</v>
      </c>
    </row>
    <row r="38" spans="1:20" x14ac:dyDescent="0.55000000000000004">
      <c r="A38" s="7">
        <v>1</v>
      </c>
      <c r="B38" s="7">
        <v>1</v>
      </c>
      <c r="C38" s="7">
        <f t="shared" si="1"/>
        <v>13</v>
      </c>
      <c r="D38" s="7">
        <v>20</v>
      </c>
      <c r="E38" s="7" t="s">
        <v>124</v>
      </c>
      <c r="K38" s="8">
        <v>1</v>
      </c>
    </row>
    <row r="39" spans="1:20" x14ac:dyDescent="0.55000000000000004">
      <c r="A39" s="7">
        <v>1</v>
      </c>
      <c r="B39" s="7">
        <v>1</v>
      </c>
      <c r="C39" s="7">
        <f t="shared" si="1"/>
        <v>14</v>
      </c>
      <c r="D39" s="7">
        <v>20</v>
      </c>
      <c r="E39" s="7" t="s">
        <v>124</v>
      </c>
      <c r="K39" s="8">
        <v>1</v>
      </c>
    </row>
    <row r="40" spans="1:20" x14ac:dyDescent="0.55000000000000004">
      <c r="A40" s="7">
        <v>1</v>
      </c>
      <c r="B40" s="7">
        <v>1</v>
      </c>
      <c r="C40" s="7">
        <f>C39+1</f>
        <v>15</v>
      </c>
      <c r="D40" s="7">
        <v>20</v>
      </c>
      <c r="E40" s="7" t="s">
        <v>124</v>
      </c>
      <c r="K40" s="8">
        <v>1</v>
      </c>
    </row>
    <row r="41" spans="1:20" x14ac:dyDescent="0.55000000000000004">
      <c r="A41" s="7">
        <v>1</v>
      </c>
      <c r="B41" s="7">
        <v>1</v>
      </c>
      <c r="C41" s="7">
        <f t="shared" si="1"/>
        <v>16</v>
      </c>
      <c r="D41" s="7">
        <v>20</v>
      </c>
      <c r="E41" s="7" t="s">
        <v>124</v>
      </c>
      <c r="G41" s="8">
        <v>1</v>
      </c>
      <c r="H41" s="7">
        <v>1</v>
      </c>
      <c r="I41" s="8">
        <v>1</v>
      </c>
      <c r="J41" s="8">
        <v>1</v>
      </c>
      <c r="M41" s="7">
        <v>1</v>
      </c>
      <c r="N41" s="7">
        <v>1</v>
      </c>
      <c r="P41" s="8">
        <v>1</v>
      </c>
    </row>
    <row r="42" spans="1:20" x14ac:dyDescent="0.55000000000000004">
      <c r="A42" s="7">
        <v>1</v>
      </c>
      <c r="B42" s="7">
        <v>1</v>
      </c>
      <c r="C42" s="7">
        <f t="shared" si="1"/>
        <v>17</v>
      </c>
      <c r="D42" s="7">
        <v>9.9</v>
      </c>
      <c r="E42" s="7" t="s">
        <v>125</v>
      </c>
      <c r="K42" s="8">
        <v>1</v>
      </c>
    </row>
    <row r="43" spans="1:20" x14ac:dyDescent="0.55000000000000004">
      <c r="A43" s="7">
        <v>1</v>
      </c>
      <c r="B43" s="7">
        <v>1</v>
      </c>
      <c r="C43" s="7">
        <f t="shared" si="1"/>
        <v>18</v>
      </c>
      <c r="D43" s="7">
        <v>9.9</v>
      </c>
      <c r="E43" s="7" t="s">
        <v>125</v>
      </c>
      <c r="K43" s="8">
        <v>1</v>
      </c>
    </row>
    <row r="44" spans="1:20" x14ac:dyDescent="0.55000000000000004">
      <c r="A44" s="7">
        <v>1</v>
      </c>
      <c r="B44" s="7">
        <v>1</v>
      </c>
      <c r="C44" s="7">
        <f t="shared" si="1"/>
        <v>19</v>
      </c>
      <c r="D44" s="7">
        <v>9.9</v>
      </c>
      <c r="E44" s="7" t="s">
        <v>125</v>
      </c>
      <c r="K44" s="8">
        <v>1</v>
      </c>
    </row>
    <row r="45" spans="1:20" x14ac:dyDescent="0.55000000000000004">
      <c r="A45" s="7">
        <v>1</v>
      </c>
      <c r="B45" s="7">
        <v>1</v>
      </c>
      <c r="C45" s="7">
        <f t="shared" si="1"/>
        <v>20</v>
      </c>
      <c r="D45" s="7">
        <v>9.9</v>
      </c>
      <c r="E45" s="7" t="s">
        <v>125</v>
      </c>
      <c r="K45" s="8">
        <v>1</v>
      </c>
    </row>
    <row r="46" spans="1:20" x14ac:dyDescent="0.55000000000000004">
      <c r="A46" s="7">
        <v>1</v>
      </c>
      <c r="B46" s="7">
        <v>1</v>
      </c>
      <c r="C46" s="7">
        <f t="shared" si="1"/>
        <v>21</v>
      </c>
      <c r="D46" s="7">
        <v>9.9</v>
      </c>
      <c r="E46" s="7" t="s">
        <v>125</v>
      </c>
      <c r="K46" s="8">
        <v>1</v>
      </c>
    </row>
    <row r="47" spans="1:20" x14ac:dyDescent="0.55000000000000004">
      <c r="A47" s="7">
        <v>1</v>
      </c>
      <c r="B47" s="7">
        <v>1</v>
      </c>
      <c r="C47" s="7">
        <f t="shared" si="1"/>
        <v>22</v>
      </c>
      <c r="D47" s="7">
        <v>9.9</v>
      </c>
      <c r="E47" s="7" t="s">
        <v>125</v>
      </c>
      <c r="G47" s="8">
        <v>1</v>
      </c>
      <c r="H47" s="8">
        <v>1</v>
      </c>
      <c r="I47" s="8">
        <v>1</v>
      </c>
      <c r="J47" s="8">
        <v>1</v>
      </c>
      <c r="M47" s="8">
        <v>1</v>
      </c>
      <c r="N47" s="8">
        <v>1</v>
      </c>
      <c r="P47" s="8">
        <v>1</v>
      </c>
    </row>
    <row r="48" spans="1:20" x14ac:dyDescent="0.55000000000000004">
      <c r="A48" s="7">
        <v>1</v>
      </c>
      <c r="B48" s="7">
        <v>1</v>
      </c>
      <c r="C48" s="7">
        <f t="shared" si="1"/>
        <v>23</v>
      </c>
      <c r="D48" s="7">
        <v>2.7</v>
      </c>
      <c r="E48" s="7" t="s">
        <v>126</v>
      </c>
    </row>
    <row r="49" spans="1:18" x14ac:dyDescent="0.55000000000000004">
      <c r="A49" s="7">
        <v>1</v>
      </c>
      <c r="B49" s="7">
        <v>1</v>
      </c>
      <c r="C49" s="7">
        <f t="shared" si="1"/>
        <v>24</v>
      </c>
      <c r="D49" s="7">
        <v>2.7</v>
      </c>
      <c r="E49" s="7" t="s">
        <v>126</v>
      </c>
      <c r="F49" s="7">
        <v>1</v>
      </c>
      <c r="G49" s="8">
        <v>1</v>
      </c>
      <c r="H49" s="8">
        <v>1</v>
      </c>
      <c r="I49" s="8">
        <v>1</v>
      </c>
      <c r="J49" s="8">
        <v>1</v>
      </c>
      <c r="M49" s="8">
        <v>1</v>
      </c>
      <c r="N49" s="8">
        <v>1</v>
      </c>
      <c r="P49" s="8">
        <v>1</v>
      </c>
      <c r="Q49" s="8">
        <v>1</v>
      </c>
      <c r="R49" s="7">
        <v>1</v>
      </c>
    </row>
    <row r="50" spans="1:18" x14ac:dyDescent="0.55000000000000004">
      <c r="A50" s="7">
        <v>2</v>
      </c>
      <c r="B50" s="7">
        <v>1</v>
      </c>
      <c r="C50" s="7">
        <v>1</v>
      </c>
      <c r="D50" s="7">
        <v>40.1</v>
      </c>
      <c r="E50" s="7" t="s">
        <v>133</v>
      </c>
      <c r="G50" s="8">
        <v>1</v>
      </c>
      <c r="H50" s="8">
        <v>1</v>
      </c>
      <c r="I50" s="8">
        <v>1</v>
      </c>
      <c r="J50" s="8">
        <v>1</v>
      </c>
      <c r="K50" s="8"/>
      <c r="L50" s="8"/>
      <c r="M50" s="8"/>
      <c r="N50" s="8"/>
      <c r="O50" s="8"/>
      <c r="P50" s="8">
        <v>1</v>
      </c>
      <c r="Q50" s="8"/>
    </row>
    <row r="51" spans="1:18" x14ac:dyDescent="0.55000000000000004">
      <c r="A51" s="7">
        <v>2</v>
      </c>
      <c r="B51" s="7">
        <v>1</v>
      </c>
      <c r="C51" s="7">
        <f>C50+1</f>
        <v>2</v>
      </c>
      <c r="D51" s="7">
        <v>40.1</v>
      </c>
      <c r="E51" s="7" t="s">
        <v>133</v>
      </c>
      <c r="G51" s="8"/>
      <c r="H51" s="8"/>
      <c r="I51" s="8"/>
      <c r="J51" s="8"/>
      <c r="K51" s="8">
        <v>1</v>
      </c>
      <c r="L51" s="8"/>
      <c r="M51" s="8"/>
      <c r="N51" s="8"/>
      <c r="O51" s="8"/>
      <c r="P51" s="8"/>
      <c r="Q51" s="8"/>
    </row>
    <row r="52" spans="1:18" x14ac:dyDescent="0.55000000000000004">
      <c r="A52" s="7">
        <v>2</v>
      </c>
      <c r="B52" s="7">
        <v>1</v>
      </c>
      <c r="C52" s="7">
        <f t="shared" ref="C52:C73" si="2">C51+1</f>
        <v>3</v>
      </c>
      <c r="D52" s="7">
        <v>40.1</v>
      </c>
      <c r="E52" s="7" t="s">
        <v>133</v>
      </c>
      <c r="G52" s="8"/>
      <c r="H52" s="8"/>
      <c r="I52" s="8"/>
      <c r="J52" s="8"/>
      <c r="K52" s="8">
        <v>1</v>
      </c>
      <c r="L52" s="8"/>
      <c r="M52" s="8"/>
      <c r="N52" s="8"/>
      <c r="O52" s="8"/>
      <c r="P52" s="8"/>
      <c r="Q52" s="8"/>
    </row>
    <row r="53" spans="1:18" x14ac:dyDescent="0.55000000000000004">
      <c r="A53" s="7">
        <v>2</v>
      </c>
      <c r="B53" s="7">
        <v>1</v>
      </c>
      <c r="C53" s="7">
        <f t="shared" si="2"/>
        <v>4</v>
      </c>
      <c r="D53" s="7">
        <v>40.1</v>
      </c>
      <c r="E53" s="7" t="s">
        <v>133</v>
      </c>
      <c r="G53" s="8"/>
      <c r="H53" s="8"/>
      <c r="I53" s="8"/>
      <c r="J53" s="8"/>
      <c r="K53" s="8">
        <v>1</v>
      </c>
      <c r="L53" s="8"/>
      <c r="M53" s="8"/>
      <c r="N53" s="8"/>
      <c r="O53" s="8"/>
      <c r="P53" s="8"/>
      <c r="Q53" s="8"/>
    </row>
    <row r="54" spans="1:18" x14ac:dyDescent="0.55000000000000004">
      <c r="A54" s="7">
        <v>2</v>
      </c>
      <c r="B54" s="7">
        <v>1</v>
      </c>
      <c r="C54" s="7">
        <f t="shared" si="2"/>
        <v>5</v>
      </c>
      <c r="D54" s="7">
        <v>40.1</v>
      </c>
      <c r="E54" s="7" t="s">
        <v>133</v>
      </c>
      <c r="G54" s="8"/>
      <c r="H54" s="8"/>
      <c r="I54" s="8"/>
      <c r="J54" s="8"/>
      <c r="K54" s="8">
        <v>1</v>
      </c>
      <c r="L54" s="8"/>
      <c r="M54" s="8"/>
      <c r="N54" s="8"/>
      <c r="O54" s="8"/>
      <c r="P54" s="8"/>
      <c r="Q54" s="8"/>
    </row>
    <row r="55" spans="1:18" x14ac:dyDescent="0.55000000000000004">
      <c r="A55" s="7">
        <v>2</v>
      </c>
      <c r="B55" s="7">
        <v>1</v>
      </c>
      <c r="C55" s="7">
        <f t="shared" si="2"/>
        <v>6</v>
      </c>
      <c r="D55" s="7">
        <v>40.1</v>
      </c>
      <c r="E55" s="7" t="s">
        <v>133</v>
      </c>
      <c r="G55" s="8"/>
      <c r="H55" s="8"/>
      <c r="I55" s="8"/>
      <c r="J55" s="8"/>
      <c r="K55" s="8">
        <v>1</v>
      </c>
      <c r="L55" s="8"/>
      <c r="M55" s="8"/>
      <c r="N55" s="8"/>
      <c r="O55" s="8"/>
      <c r="P55" s="8"/>
      <c r="Q55" s="8"/>
    </row>
    <row r="56" spans="1:18" x14ac:dyDescent="0.55000000000000004">
      <c r="A56" s="7">
        <v>2</v>
      </c>
      <c r="B56" s="7">
        <v>1</v>
      </c>
      <c r="C56" s="7">
        <f t="shared" si="2"/>
        <v>7</v>
      </c>
      <c r="D56" s="7">
        <v>30</v>
      </c>
      <c r="E56" s="7" t="s">
        <v>134</v>
      </c>
      <c r="G56" s="8"/>
      <c r="H56" s="8"/>
      <c r="I56" s="8"/>
      <c r="J56" s="8"/>
      <c r="K56" s="8">
        <v>1</v>
      </c>
      <c r="L56" s="8"/>
      <c r="M56" s="8"/>
      <c r="N56" s="8"/>
      <c r="O56" s="8"/>
      <c r="P56" s="8"/>
      <c r="Q56" s="8"/>
    </row>
    <row r="57" spans="1:18" x14ac:dyDescent="0.55000000000000004">
      <c r="A57" s="7">
        <v>2</v>
      </c>
      <c r="B57" s="7">
        <v>1</v>
      </c>
      <c r="C57" s="7">
        <f t="shared" si="2"/>
        <v>8</v>
      </c>
      <c r="D57" s="7">
        <v>30</v>
      </c>
      <c r="E57" s="7" t="s">
        <v>134</v>
      </c>
      <c r="G57" s="8"/>
      <c r="H57" s="8"/>
      <c r="I57" s="8"/>
      <c r="J57" s="8"/>
      <c r="K57" s="8">
        <v>1</v>
      </c>
      <c r="L57" s="8"/>
      <c r="M57" s="8"/>
      <c r="N57" s="8"/>
      <c r="O57" s="8"/>
      <c r="P57" s="8"/>
      <c r="Q57" s="8"/>
    </row>
    <row r="58" spans="1:18" x14ac:dyDescent="0.55000000000000004">
      <c r="A58" s="7">
        <v>2</v>
      </c>
      <c r="B58" s="7">
        <v>1</v>
      </c>
      <c r="C58" s="7">
        <f t="shared" si="2"/>
        <v>9</v>
      </c>
      <c r="D58" s="7">
        <v>30</v>
      </c>
      <c r="E58" s="7" t="s">
        <v>134</v>
      </c>
      <c r="G58" s="8"/>
      <c r="H58" s="8"/>
      <c r="I58" s="8"/>
      <c r="J58" s="8"/>
      <c r="K58" s="8">
        <v>1</v>
      </c>
      <c r="L58" s="8"/>
      <c r="M58" s="8"/>
      <c r="N58" s="8"/>
      <c r="O58" s="8"/>
      <c r="P58" s="8"/>
      <c r="Q58" s="8"/>
    </row>
    <row r="59" spans="1:18" x14ac:dyDescent="0.55000000000000004">
      <c r="A59" s="7">
        <v>2</v>
      </c>
      <c r="B59" s="7">
        <v>1</v>
      </c>
      <c r="C59" s="7">
        <f t="shared" si="2"/>
        <v>10</v>
      </c>
      <c r="D59" s="7">
        <v>30</v>
      </c>
      <c r="E59" s="7" t="s">
        <v>134</v>
      </c>
      <c r="G59" s="8"/>
      <c r="H59" s="8"/>
      <c r="I59" s="8"/>
      <c r="J59" s="8"/>
      <c r="K59" s="8">
        <v>1</v>
      </c>
      <c r="L59" s="8"/>
      <c r="M59" s="8"/>
      <c r="N59" s="8"/>
      <c r="O59" s="8"/>
      <c r="P59" s="8"/>
      <c r="Q59" s="8"/>
    </row>
    <row r="60" spans="1:18" x14ac:dyDescent="0.55000000000000004">
      <c r="A60" s="7">
        <v>2</v>
      </c>
      <c r="B60" s="7">
        <v>1</v>
      </c>
      <c r="C60" s="7">
        <f t="shared" si="2"/>
        <v>11</v>
      </c>
      <c r="D60" s="7">
        <v>30</v>
      </c>
      <c r="E60" s="7" t="s">
        <v>134</v>
      </c>
      <c r="G60" s="8"/>
      <c r="H60" s="8"/>
      <c r="I60" s="8"/>
      <c r="J60" s="8"/>
      <c r="K60" s="8">
        <v>1</v>
      </c>
      <c r="L60" s="8"/>
      <c r="M60" s="8"/>
      <c r="N60" s="8"/>
      <c r="O60" s="8"/>
      <c r="P60" s="8"/>
      <c r="Q60" s="8"/>
    </row>
    <row r="61" spans="1:18" x14ac:dyDescent="0.55000000000000004">
      <c r="A61" s="7">
        <v>2</v>
      </c>
      <c r="B61" s="7">
        <v>1</v>
      </c>
      <c r="C61" s="7">
        <f t="shared" si="2"/>
        <v>12</v>
      </c>
      <c r="D61" s="7">
        <v>30</v>
      </c>
      <c r="E61" s="7" t="s">
        <v>134</v>
      </c>
      <c r="G61" s="8">
        <v>1</v>
      </c>
      <c r="H61" s="8">
        <v>1</v>
      </c>
      <c r="I61" s="8">
        <v>1</v>
      </c>
      <c r="J61" s="8">
        <v>1</v>
      </c>
      <c r="K61" s="8"/>
      <c r="L61" s="8"/>
      <c r="M61" s="8"/>
      <c r="N61" s="8"/>
      <c r="O61" s="8"/>
      <c r="P61" s="8">
        <v>1</v>
      </c>
      <c r="Q61" s="8"/>
    </row>
    <row r="62" spans="1:18" x14ac:dyDescent="0.55000000000000004">
      <c r="A62" s="7">
        <v>2</v>
      </c>
      <c r="B62" s="7">
        <v>1</v>
      </c>
      <c r="C62" s="7">
        <f t="shared" si="2"/>
        <v>13</v>
      </c>
      <c r="D62" s="7">
        <v>19.899999999999999</v>
      </c>
      <c r="E62" s="7" t="s">
        <v>135</v>
      </c>
      <c r="G62" s="8"/>
      <c r="H62" s="8"/>
      <c r="I62" s="8"/>
      <c r="J62" s="8"/>
      <c r="K62" s="8">
        <v>1</v>
      </c>
      <c r="L62" s="8"/>
      <c r="M62" s="8"/>
      <c r="N62" s="8"/>
      <c r="O62" s="8"/>
      <c r="P62" s="8"/>
      <c r="Q62" s="8"/>
    </row>
    <row r="63" spans="1:18" x14ac:dyDescent="0.55000000000000004">
      <c r="A63" s="7">
        <v>2</v>
      </c>
      <c r="B63" s="7">
        <v>1</v>
      </c>
      <c r="C63" s="7">
        <f t="shared" si="2"/>
        <v>14</v>
      </c>
      <c r="D63" s="7">
        <v>19.899999999999999</v>
      </c>
      <c r="E63" s="7" t="s">
        <v>135</v>
      </c>
      <c r="G63" s="8"/>
      <c r="H63" s="8"/>
      <c r="I63" s="8"/>
      <c r="J63" s="8"/>
      <c r="K63" s="8">
        <v>1</v>
      </c>
      <c r="L63" s="8"/>
      <c r="M63" s="8"/>
      <c r="N63" s="8"/>
      <c r="O63" s="8"/>
      <c r="P63" s="8"/>
      <c r="Q63" s="8"/>
    </row>
    <row r="64" spans="1:18" x14ac:dyDescent="0.55000000000000004">
      <c r="A64" s="7">
        <v>2</v>
      </c>
      <c r="B64" s="7">
        <v>1</v>
      </c>
      <c r="C64" s="7">
        <f t="shared" si="2"/>
        <v>15</v>
      </c>
      <c r="D64" s="7">
        <v>19.899999999999999</v>
      </c>
      <c r="E64" s="7" t="s">
        <v>135</v>
      </c>
      <c r="G64" s="8"/>
      <c r="H64" s="8"/>
      <c r="I64" s="8"/>
      <c r="J64" s="8"/>
      <c r="K64" s="8">
        <v>1</v>
      </c>
      <c r="L64" s="8"/>
      <c r="M64" s="8"/>
      <c r="N64" s="8"/>
      <c r="O64" s="8"/>
      <c r="P64" s="8"/>
      <c r="Q64" s="8"/>
    </row>
    <row r="65" spans="1:18" x14ac:dyDescent="0.55000000000000004">
      <c r="A65" s="7">
        <v>2</v>
      </c>
      <c r="B65" s="7">
        <v>1</v>
      </c>
      <c r="C65" s="7">
        <f t="shared" si="2"/>
        <v>16</v>
      </c>
      <c r="D65" s="7">
        <v>19.899999999999999</v>
      </c>
      <c r="E65" s="7" t="s">
        <v>135</v>
      </c>
      <c r="G65" s="8"/>
      <c r="H65" s="8"/>
      <c r="I65" s="8"/>
      <c r="J65" s="8"/>
      <c r="K65" s="8">
        <v>1</v>
      </c>
      <c r="L65" s="8"/>
      <c r="M65" s="8"/>
      <c r="N65" s="8"/>
      <c r="O65" s="8"/>
      <c r="P65" s="8"/>
      <c r="Q65" s="8"/>
    </row>
    <row r="66" spans="1:18" x14ac:dyDescent="0.55000000000000004">
      <c r="A66" s="7">
        <v>2</v>
      </c>
      <c r="B66" s="7">
        <v>1</v>
      </c>
      <c r="C66" s="7">
        <f t="shared" si="2"/>
        <v>17</v>
      </c>
      <c r="D66" s="7">
        <v>19.899999999999999</v>
      </c>
      <c r="E66" s="7" t="s">
        <v>135</v>
      </c>
      <c r="G66" s="8"/>
      <c r="H66" s="8"/>
      <c r="I66" s="8"/>
      <c r="J66" s="8"/>
      <c r="K66" s="8">
        <v>1</v>
      </c>
      <c r="L66" s="8"/>
      <c r="M66" s="8"/>
      <c r="N66" s="8"/>
      <c r="O66" s="8"/>
      <c r="P66" s="8"/>
      <c r="Q66" s="8"/>
    </row>
    <row r="67" spans="1:18" x14ac:dyDescent="0.55000000000000004">
      <c r="A67" s="7">
        <v>2</v>
      </c>
      <c r="B67" s="7">
        <v>1</v>
      </c>
      <c r="C67" s="7">
        <f t="shared" si="2"/>
        <v>18</v>
      </c>
      <c r="D67" s="7">
        <v>19.899999999999999</v>
      </c>
      <c r="E67" s="7" t="s">
        <v>135</v>
      </c>
      <c r="G67" s="8">
        <v>1</v>
      </c>
      <c r="H67" s="8">
        <v>1</v>
      </c>
      <c r="I67" s="8">
        <v>1</v>
      </c>
      <c r="J67" s="8">
        <v>1</v>
      </c>
      <c r="K67" s="8"/>
      <c r="L67" s="8"/>
      <c r="M67" s="8"/>
      <c r="N67" s="8"/>
      <c r="O67" s="8"/>
      <c r="P67" s="8">
        <v>1</v>
      </c>
      <c r="Q67" s="8"/>
    </row>
    <row r="68" spans="1:18" x14ac:dyDescent="0.55000000000000004">
      <c r="A68" s="7">
        <v>2</v>
      </c>
      <c r="B68" s="7">
        <v>1</v>
      </c>
      <c r="C68" s="7">
        <f t="shared" si="2"/>
        <v>19</v>
      </c>
      <c r="D68" s="7">
        <v>10</v>
      </c>
      <c r="E68" s="7" t="s">
        <v>123</v>
      </c>
      <c r="G68" s="8"/>
      <c r="H68" s="8"/>
      <c r="I68" s="8"/>
      <c r="J68" s="8"/>
      <c r="K68" s="8">
        <v>1</v>
      </c>
      <c r="L68" s="8"/>
      <c r="M68" s="8"/>
      <c r="N68" s="8"/>
      <c r="O68" s="8"/>
      <c r="P68" s="8"/>
      <c r="Q68" s="8"/>
    </row>
    <row r="69" spans="1:18" x14ac:dyDescent="0.55000000000000004">
      <c r="A69" s="7">
        <v>2</v>
      </c>
      <c r="B69" s="7">
        <v>1</v>
      </c>
      <c r="C69" s="7">
        <f t="shared" si="2"/>
        <v>20</v>
      </c>
      <c r="D69" s="7">
        <v>10</v>
      </c>
      <c r="E69" s="7" t="s">
        <v>123</v>
      </c>
      <c r="G69" s="8"/>
      <c r="H69" s="8"/>
      <c r="I69" s="8"/>
      <c r="J69" s="8"/>
      <c r="K69" s="8">
        <v>1</v>
      </c>
      <c r="L69" s="8"/>
      <c r="M69" s="8"/>
      <c r="N69" s="8"/>
      <c r="O69" s="8"/>
      <c r="P69" s="8"/>
      <c r="Q69" s="8"/>
    </row>
    <row r="70" spans="1:18" x14ac:dyDescent="0.55000000000000004">
      <c r="A70" s="7">
        <v>2</v>
      </c>
      <c r="B70" s="7">
        <v>1</v>
      </c>
      <c r="C70" s="7">
        <f t="shared" si="2"/>
        <v>21</v>
      </c>
      <c r="D70" s="7">
        <v>10</v>
      </c>
      <c r="E70" s="7" t="s">
        <v>123</v>
      </c>
      <c r="G70" s="8"/>
      <c r="H70" s="8"/>
      <c r="I70" s="8"/>
      <c r="J70" s="8"/>
      <c r="K70" s="8">
        <v>1</v>
      </c>
      <c r="L70" s="8"/>
      <c r="M70" s="8"/>
      <c r="N70" s="8"/>
      <c r="O70" s="8"/>
      <c r="P70" s="8"/>
      <c r="Q70" s="8"/>
    </row>
    <row r="71" spans="1:18" x14ac:dyDescent="0.55000000000000004">
      <c r="A71" s="7">
        <v>2</v>
      </c>
      <c r="B71" s="7">
        <v>1</v>
      </c>
      <c r="C71" s="7">
        <f>C70+1</f>
        <v>22</v>
      </c>
      <c r="D71" s="7">
        <v>10</v>
      </c>
      <c r="E71" s="7" t="s">
        <v>123</v>
      </c>
      <c r="G71" s="8"/>
      <c r="H71" s="8"/>
      <c r="I71" s="8"/>
      <c r="J71" s="8"/>
      <c r="K71" s="8">
        <v>1</v>
      </c>
      <c r="L71" s="8"/>
      <c r="M71" s="8"/>
      <c r="N71" s="8"/>
      <c r="O71" s="8"/>
      <c r="P71" s="8"/>
      <c r="Q71" s="8"/>
    </row>
    <row r="72" spans="1:18" x14ac:dyDescent="0.55000000000000004">
      <c r="A72" s="7">
        <v>2</v>
      </c>
      <c r="B72" s="7">
        <v>1</v>
      </c>
      <c r="C72" s="7">
        <f t="shared" si="2"/>
        <v>23</v>
      </c>
      <c r="D72" s="7">
        <v>10</v>
      </c>
      <c r="E72" s="7" t="s">
        <v>123</v>
      </c>
      <c r="G72" s="8">
        <v>1</v>
      </c>
      <c r="H72" s="8">
        <v>1</v>
      </c>
      <c r="I72" s="8">
        <v>1</v>
      </c>
      <c r="J72" s="8">
        <v>1</v>
      </c>
      <c r="K72" s="8"/>
      <c r="L72" s="8"/>
      <c r="M72" s="8"/>
      <c r="N72" s="8"/>
      <c r="O72" s="8"/>
      <c r="P72" s="8">
        <v>1</v>
      </c>
      <c r="Q72" s="8"/>
    </row>
    <row r="73" spans="1:18" x14ac:dyDescent="0.55000000000000004">
      <c r="A73" s="7">
        <v>2</v>
      </c>
      <c r="B73" s="7">
        <v>1</v>
      </c>
      <c r="C73" s="7">
        <f t="shared" si="2"/>
        <v>24</v>
      </c>
      <c r="D73" s="7">
        <v>3.2</v>
      </c>
      <c r="E73" s="7" t="s">
        <v>122</v>
      </c>
      <c r="F73" s="7">
        <v>1</v>
      </c>
      <c r="G73" s="8">
        <v>1</v>
      </c>
      <c r="H73" s="8">
        <v>1</v>
      </c>
      <c r="I73" s="8">
        <v>1</v>
      </c>
      <c r="J73" s="8">
        <v>1</v>
      </c>
      <c r="K73" s="8"/>
      <c r="L73" s="8"/>
      <c r="M73" s="8"/>
      <c r="N73" s="8"/>
      <c r="O73" s="8">
        <v>1</v>
      </c>
      <c r="P73" s="8">
        <v>1</v>
      </c>
      <c r="Q73" s="8">
        <v>1</v>
      </c>
      <c r="R73" s="7">
        <v>1</v>
      </c>
    </row>
    <row r="74" spans="1:18" x14ac:dyDescent="0.55000000000000004">
      <c r="A74" s="7">
        <v>3</v>
      </c>
      <c r="B74" s="7">
        <v>1</v>
      </c>
      <c r="C74" s="7">
        <v>1</v>
      </c>
      <c r="D74" s="7">
        <v>52.1</v>
      </c>
      <c r="E74" s="7" t="s">
        <v>146</v>
      </c>
      <c r="G74" s="7">
        <v>1</v>
      </c>
      <c r="H74" s="7">
        <v>1</v>
      </c>
      <c r="I74" s="7">
        <v>1</v>
      </c>
      <c r="J74" s="7">
        <v>1</v>
      </c>
      <c r="M74" s="7">
        <v>1</v>
      </c>
      <c r="N74" s="7">
        <v>1</v>
      </c>
      <c r="P74" s="7">
        <v>1</v>
      </c>
    </row>
    <row r="75" spans="1:18" x14ac:dyDescent="0.55000000000000004">
      <c r="A75" s="7">
        <v>3</v>
      </c>
      <c r="B75" s="7">
        <v>1</v>
      </c>
      <c r="C75" s="7">
        <f>C74+1</f>
        <v>2</v>
      </c>
      <c r="D75" s="7">
        <v>52.1</v>
      </c>
      <c r="E75" s="7" t="s">
        <v>146</v>
      </c>
    </row>
    <row r="76" spans="1:18" x14ac:dyDescent="0.55000000000000004">
      <c r="A76" s="7">
        <v>3</v>
      </c>
      <c r="B76" s="7">
        <v>1</v>
      </c>
      <c r="C76" s="7">
        <f t="shared" ref="C76:C96" si="3">C75+1</f>
        <v>3</v>
      </c>
      <c r="D76" s="7">
        <v>52.1</v>
      </c>
      <c r="E76" s="7" t="s">
        <v>146</v>
      </c>
    </row>
    <row r="77" spans="1:18" x14ac:dyDescent="0.55000000000000004">
      <c r="A77" s="7">
        <v>3</v>
      </c>
      <c r="B77" s="7">
        <v>1</v>
      </c>
      <c r="C77" s="7">
        <f t="shared" si="3"/>
        <v>4</v>
      </c>
      <c r="D77" s="7">
        <v>52.1</v>
      </c>
      <c r="E77" s="7" t="s">
        <v>146</v>
      </c>
    </row>
    <row r="78" spans="1:18" x14ac:dyDescent="0.55000000000000004">
      <c r="A78" s="7">
        <v>3</v>
      </c>
      <c r="B78" s="7">
        <v>1</v>
      </c>
      <c r="C78" s="7">
        <f t="shared" si="3"/>
        <v>5</v>
      </c>
      <c r="D78" s="7">
        <v>52.1</v>
      </c>
      <c r="E78" s="7" t="s">
        <v>146</v>
      </c>
    </row>
    <row r="79" spans="1:18" x14ac:dyDescent="0.55000000000000004">
      <c r="A79" s="7">
        <v>3</v>
      </c>
      <c r="B79" s="7">
        <v>1</v>
      </c>
      <c r="C79" s="7">
        <f t="shared" si="3"/>
        <v>6</v>
      </c>
      <c r="D79" s="7">
        <v>40</v>
      </c>
      <c r="E79" s="7" t="s">
        <v>147</v>
      </c>
      <c r="G79" s="7">
        <v>1</v>
      </c>
      <c r="H79" s="7">
        <v>1</v>
      </c>
      <c r="I79" s="7">
        <v>1</v>
      </c>
      <c r="J79" s="7">
        <v>1</v>
      </c>
      <c r="M79" s="7">
        <v>1</v>
      </c>
      <c r="N79" s="7">
        <v>1</v>
      </c>
      <c r="P79" s="7">
        <v>1</v>
      </c>
    </row>
    <row r="80" spans="1:18" x14ac:dyDescent="0.55000000000000004">
      <c r="A80" s="7">
        <v>3</v>
      </c>
      <c r="B80" s="7">
        <v>1</v>
      </c>
      <c r="C80" s="7">
        <f t="shared" si="3"/>
        <v>7</v>
      </c>
      <c r="D80" s="7">
        <v>40</v>
      </c>
      <c r="E80" s="7" t="s">
        <v>147</v>
      </c>
    </row>
    <row r="81" spans="1:18" x14ac:dyDescent="0.55000000000000004">
      <c r="A81" s="7">
        <v>3</v>
      </c>
      <c r="B81" s="7">
        <v>1</v>
      </c>
      <c r="C81" s="7">
        <f t="shared" si="3"/>
        <v>8</v>
      </c>
      <c r="D81" s="7">
        <v>40</v>
      </c>
      <c r="E81" s="7" t="s">
        <v>147</v>
      </c>
    </row>
    <row r="82" spans="1:18" x14ac:dyDescent="0.55000000000000004">
      <c r="A82" s="7">
        <v>3</v>
      </c>
      <c r="B82" s="7">
        <v>1</v>
      </c>
      <c r="C82" s="7">
        <f t="shared" si="3"/>
        <v>9</v>
      </c>
      <c r="D82" s="7">
        <v>40</v>
      </c>
      <c r="E82" s="7" t="s">
        <v>147</v>
      </c>
    </row>
    <row r="83" spans="1:18" x14ac:dyDescent="0.55000000000000004">
      <c r="A83" s="7">
        <v>3</v>
      </c>
      <c r="B83" s="7">
        <v>1</v>
      </c>
      <c r="C83" s="7">
        <f t="shared" si="3"/>
        <v>10</v>
      </c>
      <c r="D83" s="7">
        <v>40</v>
      </c>
      <c r="E83" s="7" t="s">
        <v>147</v>
      </c>
    </row>
    <row r="84" spans="1:18" x14ac:dyDescent="0.55000000000000004">
      <c r="A84" s="7">
        <v>3</v>
      </c>
      <c r="B84" s="7">
        <v>1</v>
      </c>
      <c r="C84" s="7">
        <f t="shared" si="3"/>
        <v>11</v>
      </c>
      <c r="D84" s="7">
        <v>40</v>
      </c>
      <c r="E84" s="7" t="s">
        <v>147</v>
      </c>
    </row>
    <row r="85" spans="1:18" x14ac:dyDescent="0.55000000000000004">
      <c r="A85" s="7">
        <v>3</v>
      </c>
      <c r="B85" s="7">
        <v>1</v>
      </c>
      <c r="C85" s="7">
        <f t="shared" si="3"/>
        <v>12</v>
      </c>
      <c r="D85" s="7">
        <v>30.1</v>
      </c>
      <c r="E85" s="7" t="s">
        <v>148</v>
      </c>
      <c r="G85" s="7">
        <v>1</v>
      </c>
      <c r="H85" s="7">
        <v>1</v>
      </c>
      <c r="I85" s="7">
        <v>1</v>
      </c>
      <c r="J85" s="7">
        <v>1</v>
      </c>
      <c r="M85" s="7">
        <v>1</v>
      </c>
      <c r="N85" s="7">
        <v>1</v>
      </c>
      <c r="P85" s="7">
        <v>1</v>
      </c>
    </row>
    <row r="86" spans="1:18" x14ac:dyDescent="0.55000000000000004">
      <c r="A86" s="7">
        <v>3</v>
      </c>
      <c r="B86" s="7">
        <v>1</v>
      </c>
      <c r="C86" s="7">
        <f t="shared" si="3"/>
        <v>13</v>
      </c>
      <c r="D86" s="7">
        <v>30.1</v>
      </c>
      <c r="E86" s="7" t="s">
        <v>148</v>
      </c>
    </row>
    <row r="87" spans="1:18" x14ac:dyDescent="0.55000000000000004">
      <c r="A87" s="7">
        <v>3</v>
      </c>
      <c r="B87" s="7">
        <v>1</v>
      </c>
      <c r="C87" s="7">
        <f t="shared" si="3"/>
        <v>14</v>
      </c>
      <c r="D87" s="7">
        <v>19.899999999999999</v>
      </c>
      <c r="E87" s="7" t="s">
        <v>149</v>
      </c>
      <c r="G87" s="7">
        <v>1</v>
      </c>
      <c r="H87" s="7">
        <v>1</v>
      </c>
      <c r="I87" s="7">
        <v>1</v>
      </c>
      <c r="J87" s="7">
        <v>1</v>
      </c>
      <c r="M87" s="7">
        <v>1</v>
      </c>
      <c r="N87" s="7">
        <v>1</v>
      </c>
      <c r="P87" s="7">
        <v>1</v>
      </c>
    </row>
    <row r="88" spans="1:18" x14ac:dyDescent="0.55000000000000004">
      <c r="A88" s="7">
        <v>3</v>
      </c>
      <c r="B88" s="7">
        <v>1</v>
      </c>
      <c r="C88" s="7">
        <f t="shared" si="3"/>
        <v>15</v>
      </c>
      <c r="D88" s="7">
        <v>19.899999999999999</v>
      </c>
      <c r="E88" s="7" t="s">
        <v>149</v>
      </c>
    </row>
    <row r="89" spans="1:18" x14ac:dyDescent="0.55000000000000004">
      <c r="A89" s="7">
        <v>3</v>
      </c>
      <c r="B89" s="7">
        <v>1</v>
      </c>
      <c r="C89" s="7">
        <f t="shared" si="3"/>
        <v>16</v>
      </c>
      <c r="D89" s="7">
        <v>19.899999999999999</v>
      </c>
      <c r="E89" s="7" t="s">
        <v>149</v>
      </c>
    </row>
    <row r="90" spans="1:18" x14ac:dyDescent="0.55000000000000004">
      <c r="A90" s="7">
        <v>3</v>
      </c>
      <c r="B90" s="7">
        <v>1</v>
      </c>
      <c r="C90" s="7">
        <f t="shared" si="3"/>
        <v>17</v>
      </c>
      <c r="D90" s="7">
        <v>19.899999999999999</v>
      </c>
      <c r="E90" s="7" t="s">
        <v>149</v>
      </c>
    </row>
    <row r="91" spans="1:18" x14ac:dyDescent="0.55000000000000004">
      <c r="A91" s="7">
        <v>3</v>
      </c>
      <c r="B91" s="7">
        <v>1</v>
      </c>
      <c r="C91" s="7">
        <f t="shared" si="3"/>
        <v>18</v>
      </c>
      <c r="D91" s="7">
        <v>19.899999999999999</v>
      </c>
      <c r="E91" s="7" t="s">
        <v>149</v>
      </c>
    </row>
    <row r="92" spans="1:18" x14ac:dyDescent="0.55000000000000004">
      <c r="A92" s="7">
        <v>3</v>
      </c>
      <c r="B92" s="7">
        <v>1</v>
      </c>
      <c r="C92" s="7">
        <f t="shared" si="3"/>
        <v>19</v>
      </c>
      <c r="D92" s="7">
        <v>19.899999999999999</v>
      </c>
      <c r="E92" s="7" t="s">
        <v>149</v>
      </c>
    </row>
    <row r="93" spans="1:18" x14ac:dyDescent="0.55000000000000004">
      <c r="A93" s="7">
        <v>3</v>
      </c>
      <c r="B93" s="7">
        <v>1</v>
      </c>
      <c r="C93" s="7">
        <f t="shared" si="3"/>
        <v>20</v>
      </c>
      <c r="D93" s="7">
        <v>19.899999999999999</v>
      </c>
      <c r="E93" s="7" t="s">
        <v>149</v>
      </c>
    </row>
    <row r="94" spans="1:18" x14ac:dyDescent="0.55000000000000004">
      <c r="A94" s="7">
        <v>3</v>
      </c>
      <c r="B94" s="7">
        <v>1</v>
      </c>
      <c r="C94" s="7">
        <f t="shared" si="3"/>
        <v>21</v>
      </c>
      <c r="D94" s="7">
        <v>9.9</v>
      </c>
      <c r="E94" s="7" t="s">
        <v>150</v>
      </c>
    </row>
    <row r="95" spans="1:18" x14ac:dyDescent="0.55000000000000004">
      <c r="A95" s="7">
        <v>3</v>
      </c>
      <c r="B95" s="7">
        <v>1</v>
      </c>
      <c r="C95" s="7">
        <f>C94+1</f>
        <v>22</v>
      </c>
      <c r="D95" s="7">
        <v>9.9</v>
      </c>
      <c r="E95" s="7" t="s">
        <v>150</v>
      </c>
      <c r="G95" s="7">
        <v>1</v>
      </c>
      <c r="H95" s="7">
        <v>1</v>
      </c>
      <c r="I95" s="7">
        <v>1</v>
      </c>
      <c r="J95" s="7">
        <v>1</v>
      </c>
      <c r="M95" s="7">
        <v>1</v>
      </c>
      <c r="N95" s="7">
        <v>1</v>
      </c>
      <c r="P95" s="7">
        <v>1</v>
      </c>
    </row>
    <row r="96" spans="1:18" x14ac:dyDescent="0.55000000000000004">
      <c r="A96" s="7">
        <v>3</v>
      </c>
      <c r="B96" s="7">
        <v>1</v>
      </c>
      <c r="C96" s="7">
        <f t="shared" si="3"/>
        <v>23</v>
      </c>
      <c r="D96" s="7">
        <v>3.1</v>
      </c>
      <c r="E96" s="7" t="s">
        <v>151</v>
      </c>
      <c r="F96" s="7">
        <v>1</v>
      </c>
      <c r="G96" s="7">
        <v>1</v>
      </c>
      <c r="H96" s="7">
        <v>1</v>
      </c>
      <c r="I96" s="7">
        <v>1</v>
      </c>
      <c r="J96" s="7">
        <v>1</v>
      </c>
      <c r="M96" s="7">
        <v>1</v>
      </c>
      <c r="N96" s="7">
        <v>1</v>
      </c>
      <c r="P96" s="7">
        <v>1</v>
      </c>
      <c r="Q96" s="7">
        <v>1</v>
      </c>
      <c r="R96" s="7">
        <v>1</v>
      </c>
    </row>
    <row r="97" spans="1:16" x14ac:dyDescent="0.55000000000000004">
      <c r="A97" s="7">
        <v>3</v>
      </c>
      <c r="B97" s="7">
        <v>1</v>
      </c>
      <c r="C97" s="7">
        <f>C96+1</f>
        <v>24</v>
      </c>
      <c r="D97" s="7">
        <v>3.1</v>
      </c>
      <c r="E97" s="7" t="s">
        <v>151</v>
      </c>
    </row>
    <row r="98" spans="1:16" x14ac:dyDescent="0.55000000000000004">
      <c r="A98" s="7">
        <v>4</v>
      </c>
      <c r="B98" s="7">
        <v>1</v>
      </c>
      <c r="C98" s="7">
        <v>1</v>
      </c>
      <c r="D98" s="7">
        <v>61</v>
      </c>
      <c r="E98" s="7" t="s">
        <v>152</v>
      </c>
      <c r="G98" s="7">
        <v>1</v>
      </c>
      <c r="H98" s="7">
        <v>1</v>
      </c>
      <c r="I98" s="7">
        <v>1</v>
      </c>
      <c r="P98" s="7">
        <v>1</v>
      </c>
    </row>
    <row r="99" spans="1:16" x14ac:dyDescent="0.55000000000000004">
      <c r="A99" s="7">
        <v>4</v>
      </c>
      <c r="B99" s="7">
        <v>1</v>
      </c>
      <c r="C99" s="7">
        <f>C98+1</f>
        <v>2</v>
      </c>
      <c r="D99" s="7">
        <v>61</v>
      </c>
      <c r="E99" s="7" t="s">
        <v>152</v>
      </c>
      <c r="K99" s="7">
        <v>1</v>
      </c>
    </row>
    <row r="100" spans="1:16" x14ac:dyDescent="0.55000000000000004">
      <c r="A100" s="7">
        <v>4</v>
      </c>
      <c r="B100" s="7">
        <v>1</v>
      </c>
      <c r="C100" s="7">
        <f t="shared" ref="C100:C121" si="4">C99+1</f>
        <v>3</v>
      </c>
      <c r="D100" s="7">
        <v>61</v>
      </c>
      <c r="E100" s="7" t="s">
        <v>152</v>
      </c>
      <c r="K100" s="7">
        <v>1</v>
      </c>
    </row>
    <row r="101" spans="1:16" x14ac:dyDescent="0.55000000000000004">
      <c r="A101" s="7">
        <v>4</v>
      </c>
      <c r="B101" s="7">
        <v>1</v>
      </c>
      <c r="C101" s="7">
        <f t="shared" si="4"/>
        <v>4</v>
      </c>
      <c r="D101" s="7">
        <v>61</v>
      </c>
      <c r="E101" s="7" t="s">
        <v>152</v>
      </c>
      <c r="K101" s="7">
        <v>1</v>
      </c>
    </row>
    <row r="102" spans="1:16" x14ac:dyDescent="0.55000000000000004">
      <c r="A102" s="7">
        <v>4</v>
      </c>
      <c r="B102" s="7">
        <v>1</v>
      </c>
      <c r="C102" s="7">
        <f t="shared" si="4"/>
        <v>5</v>
      </c>
      <c r="D102" s="7">
        <v>61</v>
      </c>
      <c r="E102" s="7" t="s">
        <v>152</v>
      </c>
      <c r="K102" s="7">
        <v>1</v>
      </c>
    </row>
    <row r="103" spans="1:16" x14ac:dyDescent="0.55000000000000004">
      <c r="A103" s="7">
        <v>4</v>
      </c>
      <c r="B103" s="7">
        <v>1</v>
      </c>
      <c r="C103" s="7">
        <f t="shared" si="4"/>
        <v>6</v>
      </c>
      <c r="D103" s="7">
        <v>61</v>
      </c>
      <c r="E103" s="7" t="s">
        <v>152</v>
      </c>
      <c r="K103" s="7">
        <v>1</v>
      </c>
    </row>
    <row r="104" spans="1:16" x14ac:dyDescent="0.55000000000000004">
      <c r="A104" s="7">
        <v>4</v>
      </c>
      <c r="B104" s="7">
        <v>1</v>
      </c>
      <c r="C104" s="7">
        <f t="shared" si="4"/>
        <v>7</v>
      </c>
      <c r="D104" s="7">
        <v>50</v>
      </c>
      <c r="E104" s="7" t="s">
        <v>153</v>
      </c>
      <c r="G104" s="7">
        <v>1</v>
      </c>
      <c r="H104" s="7">
        <v>1</v>
      </c>
      <c r="I104" s="7">
        <v>1</v>
      </c>
      <c r="J104" s="7">
        <v>1</v>
      </c>
      <c r="P104" s="7">
        <v>1</v>
      </c>
    </row>
    <row r="105" spans="1:16" x14ac:dyDescent="0.55000000000000004">
      <c r="A105" s="7">
        <v>4</v>
      </c>
      <c r="B105" s="7">
        <v>1</v>
      </c>
      <c r="C105" s="7">
        <f t="shared" si="4"/>
        <v>8</v>
      </c>
      <c r="D105" s="7">
        <v>40</v>
      </c>
      <c r="E105" s="7" t="s">
        <v>154</v>
      </c>
      <c r="G105" s="7">
        <v>1</v>
      </c>
      <c r="H105" s="7">
        <v>1</v>
      </c>
      <c r="I105" s="7">
        <v>1</v>
      </c>
      <c r="J105" s="7">
        <v>1</v>
      </c>
      <c r="P105" s="7">
        <v>1</v>
      </c>
    </row>
    <row r="106" spans="1:16" x14ac:dyDescent="0.55000000000000004">
      <c r="A106" s="7">
        <v>4</v>
      </c>
      <c r="B106" s="7">
        <v>1</v>
      </c>
      <c r="C106" s="7">
        <f t="shared" si="4"/>
        <v>9</v>
      </c>
      <c r="D106" s="7">
        <v>40</v>
      </c>
      <c r="E106" s="7" t="s">
        <v>154</v>
      </c>
      <c r="K106" s="7">
        <v>1</v>
      </c>
    </row>
    <row r="107" spans="1:16" x14ac:dyDescent="0.55000000000000004">
      <c r="A107" s="7">
        <v>4</v>
      </c>
      <c r="B107" s="7">
        <v>1</v>
      </c>
      <c r="C107" s="7">
        <f t="shared" si="4"/>
        <v>10</v>
      </c>
      <c r="D107" s="7">
        <v>40</v>
      </c>
      <c r="E107" s="7" t="s">
        <v>154</v>
      </c>
      <c r="K107" s="7">
        <v>1</v>
      </c>
    </row>
    <row r="108" spans="1:16" x14ac:dyDescent="0.55000000000000004">
      <c r="A108" s="7">
        <v>4</v>
      </c>
      <c r="B108" s="7">
        <v>1</v>
      </c>
      <c r="C108" s="7">
        <f t="shared" si="4"/>
        <v>11</v>
      </c>
      <c r="D108" s="7">
        <v>40</v>
      </c>
      <c r="E108" s="7" t="s">
        <v>154</v>
      </c>
      <c r="K108" s="7">
        <v>1</v>
      </c>
    </row>
    <row r="109" spans="1:16" x14ac:dyDescent="0.55000000000000004">
      <c r="A109" s="7">
        <v>4</v>
      </c>
      <c r="B109" s="7">
        <v>1</v>
      </c>
      <c r="C109" s="7">
        <f t="shared" si="4"/>
        <v>12</v>
      </c>
      <c r="D109" s="7">
        <v>40</v>
      </c>
      <c r="E109" s="7" t="s">
        <v>154</v>
      </c>
      <c r="K109" s="7">
        <v>1</v>
      </c>
    </row>
    <row r="110" spans="1:16" x14ac:dyDescent="0.55000000000000004">
      <c r="A110" s="7">
        <v>4</v>
      </c>
      <c r="B110" s="7">
        <v>1</v>
      </c>
      <c r="C110" s="7">
        <f t="shared" si="4"/>
        <v>13</v>
      </c>
      <c r="D110" s="7">
        <v>40</v>
      </c>
      <c r="E110" s="7" t="s">
        <v>154</v>
      </c>
      <c r="K110" s="7">
        <v>1</v>
      </c>
    </row>
    <row r="111" spans="1:16" x14ac:dyDescent="0.55000000000000004">
      <c r="A111" s="7">
        <v>4</v>
      </c>
      <c r="B111" s="7">
        <v>1</v>
      </c>
      <c r="C111" s="7">
        <f t="shared" si="4"/>
        <v>14</v>
      </c>
      <c r="D111" s="7">
        <v>30</v>
      </c>
      <c r="E111" s="7" t="s">
        <v>155</v>
      </c>
      <c r="G111" s="7">
        <v>1</v>
      </c>
      <c r="H111" s="7">
        <v>1</v>
      </c>
      <c r="I111" s="7">
        <v>1</v>
      </c>
      <c r="J111" s="7">
        <v>1</v>
      </c>
      <c r="P111" s="7">
        <v>1</v>
      </c>
    </row>
    <row r="112" spans="1:16" x14ac:dyDescent="0.55000000000000004">
      <c r="A112" s="7">
        <v>4</v>
      </c>
      <c r="B112" s="7">
        <v>1</v>
      </c>
      <c r="C112" s="7">
        <f t="shared" si="4"/>
        <v>15</v>
      </c>
      <c r="D112" s="7">
        <v>20</v>
      </c>
      <c r="E112" s="7" t="s">
        <v>156</v>
      </c>
      <c r="G112" s="7">
        <v>1</v>
      </c>
      <c r="H112" s="7">
        <v>1</v>
      </c>
      <c r="I112" s="7">
        <v>1</v>
      </c>
      <c r="J112" s="7">
        <v>1</v>
      </c>
      <c r="P112" s="7">
        <v>1</v>
      </c>
    </row>
    <row r="113" spans="1:18" x14ac:dyDescent="0.55000000000000004">
      <c r="A113" s="7">
        <v>4</v>
      </c>
      <c r="B113" s="7">
        <v>1</v>
      </c>
      <c r="C113" s="7">
        <f t="shared" si="4"/>
        <v>16</v>
      </c>
      <c r="D113" s="7">
        <v>20</v>
      </c>
      <c r="E113" s="7" t="s">
        <v>156</v>
      </c>
      <c r="K113" s="7">
        <v>1</v>
      </c>
    </row>
    <row r="114" spans="1:18" x14ac:dyDescent="0.55000000000000004">
      <c r="A114" s="7">
        <v>4</v>
      </c>
      <c r="B114" s="7">
        <v>1</v>
      </c>
      <c r="C114" s="7">
        <f t="shared" si="4"/>
        <v>17</v>
      </c>
      <c r="D114" s="7">
        <v>20</v>
      </c>
      <c r="E114" s="7" t="s">
        <v>156</v>
      </c>
      <c r="K114" s="7">
        <v>1</v>
      </c>
    </row>
    <row r="115" spans="1:18" x14ac:dyDescent="0.55000000000000004">
      <c r="A115" s="7">
        <v>4</v>
      </c>
      <c r="B115" s="7">
        <v>1</v>
      </c>
      <c r="C115" s="7">
        <f t="shared" si="4"/>
        <v>18</v>
      </c>
      <c r="D115" s="7">
        <v>20</v>
      </c>
      <c r="E115" s="7" t="s">
        <v>156</v>
      </c>
      <c r="K115" s="7">
        <v>1</v>
      </c>
    </row>
    <row r="116" spans="1:18" x14ac:dyDescent="0.55000000000000004">
      <c r="A116" s="7">
        <v>4</v>
      </c>
      <c r="B116" s="7">
        <v>1</v>
      </c>
      <c r="C116" s="7">
        <f t="shared" si="4"/>
        <v>19</v>
      </c>
      <c r="D116" s="7">
        <v>20</v>
      </c>
      <c r="E116" s="7" t="s">
        <v>156</v>
      </c>
      <c r="K116" s="7">
        <v>1</v>
      </c>
    </row>
    <row r="117" spans="1:18" x14ac:dyDescent="0.55000000000000004">
      <c r="A117" s="7">
        <v>4</v>
      </c>
      <c r="B117" s="7">
        <v>1</v>
      </c>
      <c r="C117" s="7">
        <f t="shared" si="4"/>
        <v>20</v>
      </c>
      <c r="D117" s="7">
        <v>20</v>
      </c>
      <c r="E117" s="7" t="s">
        <v>156</v>
      </c>
      <c r="K117" s="7">
        <v>1</v>
      </c>
    </row>
    <row r="118" spans="1:18" x14ac:dyDescent="0.55000000000000004">
      <c r="A118" s="7">
        <v>4</v>
      </c>
      <c r="B118" s="7">
        <v>1</v>
      </c>
      <c r="C118" s="7">
        <f t="shared" si="4"/>
        <v>21</v>
      </c>
      <c r="D118" s="7">
        <v>10</v>
      </c>
      <c r="E118" s="7" t="s">
        <v>157</v>
      </c>
    </row>
    <row r="119" spans="1:18" x14ac:dyDescent="0.55000000000000004">
      <c r="A119" s="7">
        <v>4</v>
      </c>
      <c r="B119" s="7">
        <v>1</v>
      </c>
      <c r="C119" s="7">
        <f t="shared" si="4"/>
        <v>22</v>
      </c>
      <c r="D119" s="7">
        <v>10</v>
      </c>
      <c r="E119" s="7" t="s">
        <v>157</v>
      </c>
      <c r="G119" s="7">
        <v>1</v>
      </c>
      <c r="H119" s="7">
        <v>1</v>
      </c>
      <c r="I119" s="7">
        <v>1</v>
      </c>
      <c r="J119" s="7">
        <v>1</v>
      </c>
      <c r="P119" s="7">
        <v>1</v>
      </c>
    </row>
    <row r="120" spans="1:18" x14ac:dyDescent="0.55000000000000004">
      <c r="A120" s="7">
        <v>4</v>
      </c>
      <c r="B120" s="7">
        <v>1</v>
      </c>
      <c r="C120" s="7">
        <f t="shared" si="4"/>
        <v>23</v>
      </c>
      <c r="D120" s="7">
        <v>4</v>
      </c>
      <c r="E120" s="7" t="s">
        <v>158</v>
      </c>
    </row>
    <row r="121" spans="1:18" x14ac:dyDescent="0.55000000000000004">
      <c r="A121" s="7">
        <v>4</v>
      </c>
      <c r="B121" s="7">
        <v>1</v>
      </c>
      <c r="C121" s="7">
        <f t="shared" si="4"/>
        <v>24</v>
      </c>
      <c r="D121" s="7">
        <v>4</v>
      </c>
      <c r="E121" s="7" t="s">
        <v>158</v>
      </c>
      <c r="G121" s="7">
        <v>1</v>
      </c>
      <c r="H121" s="7">
        <v>1</v>
      </c>
      <c r="I121" s="7">
        <v>1</v>
      </c>
      <c r="J121" s="7">
        <v>1</v>
      </c>
      <c r="P121" s="7">
        <v>1</v>
      </c>
      <c r="Q121" s="7">
        <v>1</v>
      </c>
      <c r="R121" s="7">
        <v>1</v>
      </c>
    </row>
    <row r="122" spans="1:18" x14ac:dyDescent="0.55000000000000004">
      <c r="A122" s="7">
        <v>5</v>
      </c>
      <c r="B122" s="7">
        <v>1</v>
      </c>
      <c r="C122" s="7">
        <v>1</v>
      </c>
      <c r="D122" s="7">
        <v>140.4</v>
      </c>
      <c r="E122" s="7" t="s">
        <v>167</v>
      </c>
      <c r="G122" s="7">
        <v>1</v>
      </c>
      <c r="H122" s="7">
        <v>1</v>
      </c>
      <c r="I122" s="7">
        <v>1</v>
      </c>
      <c r="M122" s="7">
        <v>1</v>
      </c>
      <c r="N122" s="7">
        <v>1</v>
      </c>
    </row>
    <row r="123" spans="1:18" x14ac:dyDescent="0.55000000000000004">
      <c r="A123" s="7">
        <v>5</v>
      </c>
      <c r="B123" s="7">
        <v>1</v>
      </c>
      <c r="C123" s="7">
        <f>C122+1</f>
        <v>2</v>
      </c>
      <c r="D123" s="7">
        <v>140.4</v>
      </c>
      <c r="E123" s="7" t="s">
        <v>167</v>
      </c>
    </row>
    <row r="124" spans="1:18" x14ac:dyDescent="0.55000000000000004">
      <c r="A124" s="7">
        <v>5</v>
      </c>
      <c r="B124" s="7">
        <v>1</v>
      </c>
      <c r="C124" s="7">
        <f t="shared" ref="C124:C145" si="5">C123+1</f>
        <v>3</v>
      </c>
      <c r="D124" s="7">
        <v>130.1</v>
      </c>
      <c r="E124" s="7" t="s">
        <v>168</v>
      </c>
      <c r="G124" s="7">
        <v>1</v>
      </c>
      <c r="H124" s="7">
        <v>1</v>
      </c>
      <c r="I124" s="7">
        <v>1</v>
      </c>
      <c r="M124" s="7">
        <v>1</v>
      </c>
      <c r="N124" s="7">
        <v>1</v>
      </c>
    </row>
    <row r="125" spans="1:18" x14ac:dyDescent="0.55000000000000004">
      <c r="A125" s="7">
        <v>5</v>
      </c>
      <c r="B125" s="7">
        <v>1</v>
      </c>
      <c r="C125" s="7">
        <f t="shared" si="5"/>
        <v>4</v>
      </c>
      <c r="D125" s="7">
        <v>115.2</v>
      </c>
      <c r="E125" s="7" t="s">
        <v>171</v>
      </c>
      <c r="G125" s="7">
        <v>1</v>
      </c>
      <c r="H125" s="7">
        <v>1</v>
      </c>
      <c r="I125" s="7">
        <v>1</v>
      </c>
      <c r="M125" s="7">
        <v>1</v>
      </c>
      <c r="N125" s="7">
        <v>1</v>
      </c>
    </row>
    <row r="126" spans="1:18" x14ac:dyDescent="0.55000000000000004">
      <c r="A126" s="7">
        <v>5</v>
      </c>
      <c r="B126" s="7">
        <v>1</v>
      </c>
      <c r="C126" s="7">
        <f t="shared" si="5"/>
        <v>5</v>
      </c>
      <c r="D126" s="7">
        <v>99.8</v>
      </c>
      <c r="E126" s="7" t="s">
        <v>172</v>
      </c>
      <c r="G126" s="7">
        <v>1</v>
      </c>
      <c r="H126" s="7">
        <v>1</v>
      </c>
      <c r="I126" s="7">
        <v>1</v>
      </c>
      <c r="M126" s="7">
        <v>1</v>
      </c>
      <c r="N126" s="7">
        <v>1</v>
      </c>
    </row>
    <row r="127" spans="1:18" x14ac:dyDescent="0.55000000000000004">
      <c r="A127" s="7">
        <v>5</v>
      </c>
      <c r="B127" s="7">
        <v>1</v>
      </c>
      <c r="C127" s="7">
        <f t="shared" si="5"/>
        <v>6</v>
      </c>
      <c r="D127" s="7">
        <v>99.8</v>
      </c>
      <c r="E127" s="7" t="s">
        <v>172</v>
      </c>
    </row>
    <row r="128" spans="1:18" x14ac:dyDescent="0.55000000000000004">
      <c r="A128" s="7">
        <v>5</v>
      </c>
      <c r="B128" s="7">
        <v>1</v>
      </c>
      <c r="C128" s="7">
        <f t="shared" si="5"/>
        <v>7</v>
      </c>
      <c r="D128" s="7">
        <v>99.8</v>
      </c>
      <c r="E128" s="7" t="s">
        <v>172</v>
      </c>
    </row>
    <row r="129" spans="1:14" x14ac:dyDescent="0.55000000000000004">
      <c r="A129" s="7">
        <v>5</v>
      </c>
      <c r="B129" s="7">
        <v>1</v>
      </c>
      <c r="C129" s="7">
        <f t="shared" si="5"/>
        <v>8</v>
      </c>
      <c r="D129" s="7">
        <v>99.8</v>
      </c>
      <c r="E129" s="7" t="s">
        <v>172</v>
      </c>
    </row>
    <row r="130" spans="1:14" x14ac:dyDescent="0.55000000000000004">
      <c r="A130" s="7">
        <v>5</v>
      </c>
      <c r="B130" s="7">
        <v>1</v>
      </c>
      <c r="C130" s="7">
        <f t="shared" si="5"/>
        <v>9</v>
      </c>
      <c r="D130" s="7">
        <v>99.8</v>
      </c>
      <c r="E130" s="7" t="s">
        <v>172</v>
      </c>
    </row>
    <row r="131" spans="1:14" x14ac:dyDescent="0.55000000000000004">
      <c r="A131" s="7">
        <v>5</v>
      </c>
      <c r="B131" s="7">
        <v>1</v>
      </c>
      <c r="C131" s="7">
        <f t="shared" si="5"/>
        <v>10</v>
      </c>
      <c r="D131" s="7">
        <v>99.8</v>
      </c>
      <c r="E131" s="7" t="s">
        <v>172</v>
      </c>
    </row>
    <row r="132" spans="1:14" x14ac:dyDescent="0.55000000000000004">
      <c r="A132" s="7">
        <v>5</v>
      </c>
      <c r="B132" s="7">
        <v>1</v>
      </c>
      <c r="C132" s="7">
        <f t="shared" si="5"/>
        <v>11</v>
      </c>
      <c r="D132" s="7">
        <v>84.6</v>
      </c>
      <c r="E132" s="7" t="s">
        <v>173</v>
      </c>
      <c r="G132" s="7">
        <v>1</v>
      </c>
      <c r="H132" s="7">
        <v>1</v>
      </c>
      <c r="I132" s="7">
        <v>1</v>
      </c>
      <c r="M132" s="7">
        <v>1</v>
      </c>
      <c r="N132" s="7">
        <v>1</v>
      </c>
    </row>
    <row r="133" spans="1:14" x14ac:dyDescent="0.55000000000000004">
      <c r="A133" s="7">
        <v>5</v>
      </c>
      <c r="B133" s="7">
        <v>1</v>
      </c>
      <c r="C133" s="7">
        <f t="shared" si="5"/>
        <v>12</v>
      </c>
      <c r="D133" s="7">
        <v>70.099999999999994</v>
      </c>
      <c r="E133" s="7" t="s">
        <v>174</v>
      </c>
      <c r="G133" s="7">
        <v>1</v>
      </c>
      <c r="H133" s="7">
        <v>1</v>
      </c>
      <c r="I133" s="7">
        <v>1</v>
      </c>
      <c r="M133" s="7">
        <v>1</v>
      </c>
      <c r="N133" s="7">
        <v>1</v>
      </c>
    </row>
    <row r="134" spans="1:14" x14ac:dyDescent="0.55000000000000004">
      <c r="A134" s="7">
        <v>5</v>
      </c>
      <c r="B134" s="7">
        <v>1</v>
      </c>
      <c r="C134" s="7">
        <f t="shared" si="5"/>
        <v>13</v>
      </c>
      <c r="D134" s="7">
        <v>55.2</v>
      </c>
      <c r="E134" s="7" t="s">
        <v>175</v>
      </c>
      <c r="G134" s="7">
        <v>1</v>
      </c>
      <c r="H134" s="7">
        <v>1</v>
      </c>
      <c r="I134" s="7">
        <v>1</v>
      </c>
      <c r="J134" s="7">
        <v>1</v>
      </c>
      <c r="M134" s="7">
        <v>1</v>
      </c>
      <c r="N134" s="7">
        <v>1</v>
      </c>
    </row>
    <row r="135" spans="1:14" x14ac:dyDescent="0.55000000000000004">
      <c r="A135" s="7">
        <v>5</v>
      </c>
      <c r="B135" s="7">
        <v>1</v>
      </c>
      <c r="C135" s="7">
        <f t="shared" si="5"/>
        <v>14</v>
      </c>
      <c r="D135" s="7">
        <v>39.9</v>
      </c>
      <c r="E135" s="7" t="s">
        <v>176</v>
      </c>
      <c r="G135" s="7">
        <v>1</v>
      </c>
      <c r="H135" s="7">
        <v>1</v>
      </c>
      <c r="I135" s="7">
        <v>1</v>
      </c>
      <c r="J135" s="7">
        <v>1</v>
      </c>
      <c r="M135" s="7">
        <v>1</v>
      </c>
      <c r="N135" s="7">
        <v>1</v>
      </c>
    </row>
    <row r="136" spans="1:14" x14ac:dyDescent="0.55000000000000004">
      <c r="A136" s="7">
        <v>5</v>
      </c>
      <c r="B136" s="7">
        <v>1</v>
      </c>
      <c r="C136" s="7">
        <f t="shared" si="5"/>
        <v>15</v>
      </c>
      <c r="D136" s="7">
        <v>39.9</v>
      </c>
      <c r="E136" s="7" t="s">
        <v>176</v>
      </c>
    </row>
    <row r="137" spans="1:14" x14ac:dyDescent="0.55000000000000004">
      <c r="A137" s="7">
        <v>5</v>
      </c>
      <c r="B137" s="7">
        <v>1</v>
      </c>
      <c r="C137" s="7">
        <f t="shared" si="5"/>
        <v>16</v>
      </c>
      <c r="D137" s="7">
        <v>39.9</v>
      </c>
      <c r="E137" s="7" t="s">
        <v>176</v>
      </c>
    </row>
    <row r="138" spans="1:14" x14ac:dyDescent="0.55000000000000004">
      <c r="A138" s="7">
        <v>5</v>
      </c>
      <c r="B138" s="7">
        <v>1</v>
      </c>
      <c r="C138" s="7">
        <f t="shared" si="5"/>
        <v>17</v>
      </c>
      <c r="D138" s="7">
        <v>39.9</v>
      </c>
      <c r="E138" s="7" t="s">
        <v>176</v>
      </c>
    </row>
    <row r="139" spans="1:14" x14ac:dyDescent="0.55000000000000004">
      <c r="A139" s="7">
        <v>5</v>
      </c>
      <c r="B139" s="7">
        <v>1</v>
      </c>
      <c r="C139" s="7">
        <f t="shared" si="5"/>
        <v>18</v>
      </c>
      <c r="D139" s="7">
        <v>39.9</v>
      </c>
      <c r="E139" s="7" t="s">
        <v>176</v>
      </c>
    </row>
    <row r="140" spans="1:14" x14ac:dyDescent="0.55000000000000004">
      <c r="A140" s="7">
        <v>5</v>
      </c>
      <c r="B140" s="7">
        <v>1</v>
      </c>
      <c r="C140" s="7">
        <f t="shared" si="5"/>
        <v>19</v>
      </c>
      <c r="D140" s="7">
        <v>39.9</v>
      </c>
      <c r="E140" s="7" t="s">
        <v>176</v>
      </c>
    </row>
    <row r="141" spans="1:14" x14ac:dyDescent="0.55000000000000004">
      <c r="A141" s="7">
        <v>5</v>
      </c>
      <c r="B141" s="7">
        <v>1</v>
      </c>
      <c r="C141" s="7">
        <f t="shared" si="5"/>
        <v>20</v>
      </c>
      <c r="D141" s="7">
        <v>30</v>
      </c>
      <c r="E141" s="7" t="s">
        <v>177</v>
      </c>
      <c r="F141" s="7">
        <v>1</v>
      </c>
      <c r="G141" s="7">
        <v>1</v>
      </c>
      <c r="H141" s="7">
        <v>1</v>
      </c>
      <c r="I141" s="7">
        <v>1</v>
      </c>
      <c r="J141" s="7">
        <v>1</v>
      </c>
      <c r="M141" s="7">
        <v>1</v>
      </c>
      <c r="N141" s="7">
        <v>1</v>
      </c>
    </row>
    <row r="142" spans="1:14" x14ac:dyDescent="0.55000000000000004">
      <c r="A142" s="7">
        <v>5</v>
      </c>
      <c r="B142" s="7">
        <v>1</v>
      </c>
      <c r="C142" s="7">
        <f t="shared" si="5"/>
        <v>21</v>
      </c>
      <c r="D142" s="7">
        <v>20</v>
      </c>
      <c r="E142" s="7" t="s">
        <v>178</v>
      </c>
      <c r="G142" s="7">
        <v>1</v>
      </c>
      <c r="H142" s="7">
        <v>1</v>
      </c>
      <c r="I142" s="7">
        <v>1</v>
      </c>
      <c r="J142" s="7">
        <v>1</v>
      </c>
      <c r="M142" s="7">
        <v>1</v>
      </c>
      <c r="N142" s="7">
        <v>1</v>
      </c>
    </row>
    <row r="143" spans="1:14" x14ac:dyDescent="0.55000000000000004">
      <c r="A143" s="7">
        <v>5</v>
      </c>
      <c r="B143" s="7">
        <v>1</v>
      </c>
      <c r="C143" s="7">
        <f>C142+1</f>
        <v>22</v>
      </c>
      <c r="D143" s="7">
        <v>10.3</v>
      </c>
      <c r="E143" s="7" t="s">
        <v>179</v>
      </c>
      <c r="G143" s="7">
        <v>1</v>
      </c>
      <c r="H143" s="7">
        <v>1</v>
      </c>
      <c r="I143" s="7">
        <v>1</v>
      </c>
      <c r="J143" s="7">
        <v>1</v>
      </c>
      <c r="M143" s="7">
        <v>1</v>
      </c>
      <c r="N143" s="7">
        <v>1</v>
      </c>
    </row>
    <row r="144" spans="1:14" x14ac:dyDescent="0.55000000000000004">
      <c r="A144" s="7">
        <v>5</v>
      </c>
      <c r="B144" s="7">
        <v>1</v>
      </c>
      <c r="C144" s="7">
        <f t="shared" si="5"/>
        <v>23</v>
      </c>
      <c r="D144" s="7">
        <v>2.9</v>
      </c>
      <c r="E144" s="7" t="s">
        <v>180</v>
      </c>
    </row>
    <row r="145" spans="1:16" x14ac:dyDescent="0.55000000000000004">
      <c r="A145" s="7">
        <v>5</v>
      </c>
      <c r="B145" s="7">
        <v>1</v>
      </c>
      <c r="C145" s="7">
        <f t="shared" si="5"/>
        <v>24</v>
      </c>
      <c r="D145" s="7">
        <v>2.9</v>
      </c>
      <c r="E145" s="7" t="s">
        <v>180</v>
      </c>
      <c r="F145" s="7">
        <v>1</v>
      </c>
      <c r="G145" s="7">
        <v>1</v>
      </c>
      <c r="H145" s="7">
        <v>1</v>
      </c>
      <c r="I145" s="7">
        <v>1</v>
      </c>
      <c r="J145" s="7">
        <v>1</v>
      </c>
      <c r="M145" s="7">
        <v>1</v>
      </c>
      <c r="N145" s="7">
        <v>1</v>
      </c>
      <c r="O145" s="7">
        <v>1</v>
      </c>
    </row>
    <row r="146" spans="1:16" x14ac:dyDescent="0.55000000000000004">
      <c r="A146" s="7">
        <v>6</v>
      </c>
      <c r="B146" s="7">
        <v>1</v>
      </c>
      <c r="C146" s="7">
        <v>1</v>
      </c>
      <c r="D146" s="7">
        <v>202.3</v>
      </c>
      <c r="E146" s="7" t="s">
        <v>181</v>
      </c>
      <c r="G146" s="7">
        <v>1</v>
      </c>
      <c r="H146" s="7">
        <v>1</v>
      </c>
      <c r="I146" s="7">
        <v>1</v>
      </c>
      <c r="P146" s="7">
        <v>1</v>
      </c>
    </row>
    <row r="147" spans="1:16" x14ac:dyDescent="0.55000000000000004">
      <c r="A147" s="7">
        <v>6</v>
      </c>
      <c r="B147" s="7">
        <v>1</v>
      </c>
      <c r="C147" s="7">
        <f>C146+1</f>
        <v>2</v>
      </c>
      <c r="D147" s="7">
        <v>202.3</v>
      </c>
      <c r="E147" s="7" t="s">
        <v>181</v>
      </c>
    </row>
    <row r="148" spans="1:16" x14ac:dyDescent="0.55000000000000004">
      <c r="A148" s="7">
        <v>6</v>
      </c>
      <c r="B148" s="7">
        <v>1</v>
      </c>
      <c r="C148" s="7">
        <f t="shared" ref="C148:C169" si="6">C147+1</f>
        <v>3</v>
      </c>
      <c r="D148" s="7">
        <v>174.9</v>
      </c>
      <c r="E148" s="7" t="s">
        <v>182</v>
      </c>
      <c r="G148" s="7">
        <v>1</v>
      </c>
      <c r="H148" s="7">
        <v>1</v>
      </c>
      <c r="I148" s="7">
        <v>1</v>
      </c>
      <c r="P148" s="7">
        <v>1</v>
      </c>
    </row>
    <row r="149" spans="1:16" x14ac:dyDescent="0.55000000000000004">
      <c r="A149" s="7">
        <v>6</v>
      </c>
      <c r="B149" s="7">
        <v>1</v>
      </c>
      <c r="C149" s="7">
        <f t="shared" si="6"/>
        <v>4</v>
      </c>
      <c r="D149" s="7">
        <v>174.9</v>
      </c>
      <c r="E149" s="7" t="s">
        <v>182</v>
      </c>
    </row>
    <row r="150" spans="1:16" x14ac:dyDescent="0.55000000000000004">
      <c r="A150" s="7">
        <v>6</v>
      </c>
      <c r="B150" s="7">
        <v>1</v>
      </c>
      <c r="C150" s="7">
        <f t="shared" si="6"/>
        <v>5</v>
      </c>
      <c r="D150" s="7">
        <v>150</v>
      </c>
      <c r="E150" s="7" t="s">
        <v>183</v>
      </c>
      <c r="G150" s="7">
        <v>1</v>
      </c>
      <c r="H150" s="7">
        <v>1</v>
      </c>
      <c r="I150" s="7">
        <v>1</v>
      </c>
      <c r="P150" s="7">
        <v>1</v>
      </c>
    </row>
    <row r="151" spans="1:16" x14ac:dyDescent="0.55000000000000004">
      <c r="A151" s="7">
        <v>6</v>
      </c>
      <c r="B151" s="7">
        <v>1</v>
      </c>
      <c r="C151" s="7">
        <f t="shared" si="6"/>
        <v>6</v>
      </c>
      <c r="D151" s="7">
        <v>150</v>
      </c>
      <c r="E151" s="7" t="s">
        <v>183</v>
      </c>
    </row>
    <row r="152" spans="1:16" x14ac:dyDescent="0.55000000000000004">
      <c r="A152" s="7">
        <v>6</v>
      </c>
      <c r="B152" s="7">
        <v>1</v>
      </c>
      <c r="C152" s="7">
        <f t="shared" si="6"/>
        <v>7</v>
      </c>
      <c r="D152" s="7">
        <v>129.9</v>
      </c>
      <c r="E152" s="7" t="s">
        <v>184</v>
      </c>
      <c r="G152" s="7">
        <v>1</v>
      </c>
      <c r="H152" s="7">
        <v>1</v>
      </c>
      <c r="I152" s="7">
        <v>1</v>
      </c>
      <c r="P152" s="7">
        <v>1</v>
      </c>
    </row>
    <row r="153" spans="1:16" x14ac:dyDescent="0.55000000000000004">
      <c r="A153" s="7">
        <v>6</v>
      </c>
      <c r="B153" s="7">
        <v>1</v>
      </c>
      <c r="C153" s="7">
        <f t="shared" si="6"/>
        <v>8</v>
      </c>
      <c r="D153" s="7">
        <v>129.9</v>
      </c>
      <c r="E153" s="7" t="s">
        <v>184</v>
      </c>
    </row>
    <row r="154" spans="1:16" x14ac:dyDescent="0.55000000000000004">
      <c r="A154" s="7">
        <v>6</v>
      </c>
      <c r="B154" s="7">
        <v>1</v>
      </c>
      <c r="C154" s="7">
        <f t="shared" si="6"/>
        <v>9</v>
      </c>
      <c r="D154" s="7">
        <v>114.9</v>
      </c>
      <c r="E154" s="7" t="s">
        <v>185</v>
      </c>
      <c r="G154" s="7">
        <v>1</v>
      </c>
      <c r="H154" s="7">
        <v>1</v>
      </c>
      <c r="I154" s="7">
        <v>1</v>
      </c>
      <c r="P154" s="7">
        <v>1</v>
      </c>
    </row>
    <row r="155" spans="1:16" x14ac:dyDescent="0.55000000000000004">
      <c r="A155" s="7">
        <v>6</v>
      </c>
      <c r="B155" s="7">
        <v>1</v>
      </c>
      <c r="C155" s="7">
        <f t="shared" si="6"/>
        <v>10</v>
      </c>
      <c r="D155" s="7">
        <v>114.9</v>
      </c>
      <c r="E155" s="7" t="s">
        <v>185</v>
      </c>
    </row>
    <row r="156" spans="1:16" x14ac:dyDescent="0.55000000000000004">
      <c r="A156" s="7">
        <v>6</v>
      </c>
      <c r="B156" s="7">
        <v>1</v>
      </c>
      <c r="C156" s="7">
        <f t="shared" si="6"/>
        <v>11</v>
      </c>
      <c r="D156" s="7">
        <v>99.9</v>
      </c>
      <c r="E156" s="7" t="s">
        <v>169</v>
      </c>
      <c r="G156" s="7">
        <v>1</v>
      </c>
      <c r="H156" s="7">
        <v>1</v>
      </c>
      <c r="I156" s="7">
        <v>1</v>
      </c>
      <c r="P156" s="7">
        <v>1</v>
      </c>
    </row>
    <row r="157" spans="1:16" x14ac:dyDescent="0.55000000000000004">
      <c r="A157" s="7">
        <v>6</v>
      </c>
      <c r="B157" s="7">
        <v>1</v>
      </c>
      <c r="C157" s="7">
        <f t="shared" si="6"/>
        <v>12</v>
      </c>
      <c r="D157" s="7">
        <v>99.9</v>
      </c>
      <c r="E157" s="7" t="s">
        <v>169</v>
      </c>
    </row>
    <row r="158" spans="1:16" x14ac:dyDescent="0.55000000000000004">
      <c r="A158" s="7">
        <v>6</v>
      </c>
      <c r="B158" s="7">
        <v>1</v>
      </c>
      <c r="C158" s="7">
        <f t="shared" si="6"/>
        <v>13</v>
      </c>
      <c r="D158" s="7">
        <v>85</v>
      </c>
      <c r="E158" s="7" t="s">
        <v>186</v>
      </c>
      <c r="G158" s="7">
        <v>1</v>
      </c>
      <c r="H158" s="7">
        <v>1</v>
      </c>
      <c r="I158" s="7">
        <v>1</v>
      </c>
      <c r="P158" s="7">
        <v>1</v>
      </c>
    </row>
    <row r="159" spans="1:16" x14ac:dyDescent="0.55000000000000004">
      <c r="A159" s="7">
        <v>6</v>
      </c>
      <c r="B159" s="7">
        <v>1</v>
      </c>
      <c r="C159" s="7">
        <f t="shared" si="6"/>
        <v>14</v>
      </c>
      <c r="D159" s="7">
        <v>85</v>
      </c>
      <c r="E159" s="7" t="s">
        <v>186</v>
      </c>
    </row>
    <row r="160" spans="1:16" x14ac:dyDescent="0.55000000000000004">
      <c r="A160" s="7">
        <v>6</v>
      </c>
      <c r="B160" s="7">
        <v>1</v>
      </c>
      <c r="C160" s="7">
        <f t="shared" si="6"/>
        <v>15</v>
      </c>
      <c r="D160" s="7">
        <v>69.900000000000006</v>
      </c>
      <c r="E160" s="7" t="s">
        <v>187</v>
      </c>
      <c r="G160" s="7">
        <v>1</v>
      </c>
      <c r="H160" s="7">
        <v>1</v>
      </c>
      <c r="I160" s="7">
        <v>1</v>
      </c>
      <c r="P160" s="7">
        <v>1</v>
      </c>
    </row>
    <row r="161" spans="1:19" x14ac:dyDescent="0.55000000000000004">
      <c r="A161" s="7">
        <v>6</v>
      </c>
      <c r="B161" s="7">
        <v>1</v>
      </c>
      <c r="C161" s="7">
        <f t="shared" si="6"/>
        <v>16</v>
      </c>
      <c r="D161" s="7">
        <v>69.900000000000006</v>
      </c>
      <c r="E161" s="7" t="s">
        <v>187</v>
      </c>
    </row>
    <row r="162" spans="1:19" x14ac:dyDescent="0.55000000000000004">
      <c r="A162" s="7">
        <v>6</v>
      </c>
      <c r="B162" s="7">
        <v>1</v>
      </c>
      <c r="C162" s="7">
        <f t="shared" si="6"/>
        <v>17</v>
      </c>
      <c r="D162" s="7">
        <v>55.1</v>
      </c>
      <c r="E162" s="7" t="s">
        <v>188</v>
      </c>
      <c r="G162" s="7">
        <v>1</v>
      </c>
      <c r="H162" s="7">
        <v>1</v>
      </c>
      <c r="I162" s="7">
        <v>1</v>
      </c>
      <c r="J162" s="7">
        <v>1</v>
      </c>
      <c r="P162" s="7">
        <v>1</v>
      </c>
    </row>
    <row r="163" spans="1:19" x14ac:dyDescent="0.55000000000000004">
      <c r="A163" s="7">
        <v>6</v>
      </c>
      <c r="B163" s="7">
        <v>1</v>
      </c>
      <c r="C163" s="7">
        <f t="shared" si="6"/>
        <v>18</v>
      </c>
      <c r="D163" s="7">
        <v>40</v>
      </c>
      <c r="E163" s="7" t="s">
        <v>189</v>
      </c>
      <c r="G163" s="7">
        <v>1</v>
      </c>
      <c r="H163" s="7">
        <v>1</v>
      </c>
      <c r="I163" s="7">
        <v>1</v>
      </c>
      <c r="J163" s="7">
        <v>1</v>
      </c>
      <c r="P163" s="7">
        <v>1</v>
      </c>
    </row>
    <row r="164" spans="1:19" x14ac:dyDescent="0.55000000000000004">
      <c r="A164" s="7">
        <v>6</v>
      </c>
      <c r="B164" s="7">
        <v>1</v>
      </c>
      <c r="C164" s="7">
        <f t="shared" si="6"/>
        <v>19</v>
      </c>
      <c r="D164" s="7">
        <v>40</v>
      </c>
      <c r="E164" s="7" t="s">
        <v>189</v>
      </c>
      <c r="S164" s="7">
        <v>1</v>
      </c>
    </row>
    <row r="165" spans="1:19" x14ac:dyDescent="0.55000000000000004">
      <c r="A165" s="7">
        <v>6</v>
      </c>
      <c r="B165" s="7">
        <v>1</v>
      </c>
      <c r="C165" s="7">
        <f t="shared" si="6"/>
        <v>20</v>
      </c>
      <c r="D165" s="7">
        <v>30</v>
      </c>
      <c r="E165" s="7" t="s">
        <v>190</v>
      </c>
      <c r="G165" s="7">
        <v>1</v>
      </c>
      <c r="H165" s="7">
        <v>1</v>
      </c>
      <c r="I165" s="7">
        <v>1</v>
      </c>
      <c r="J165" s="7">
        <v>1</v>
      </c>
      <c r="P165" s="7">
        <v>1</v>
      </c>
    </row>
    <row r="166" spans="1:19" x14ac:dyDescent="0.55000000000000004">
      <c r="A166" s="7">
        <v>6</v>
      </c>
      <c r="B166" s="7">
        <v>1</v>
      </c>
      <c r="C166" s="7">
        <f t="shared" si="6"/>
        <v>21</v>
      </c>
      <c r="D166" s="7">
        <v>20</v>
      </c>
      <c r="E166" s="7" t="s">
        <v>191</v>
      </c>
      <c r="G166" s="7">
        <v>1</v>
      </c>
      <c r="H166" s="7">
        <v>1</v>
      </c>
      <c r="I166" s="7">
        <v>1</v>
      </c>
      <c r="J166" s="7">
        <v>1</v>
      </c>
      <c r="P166" s="7">
        <v>1</v>
      </c>
    </row>
    <row r="167" spans="1:19" x14ac:dyDescent="0.55000000000000004">
      <c r="A167" s="7">
        <v>6</v>
      </c>
      <c r="B167" s="7">
        <v>1</v>
      </c>
      <c r="C167" s="7">
        <f t="shared" si="6"/>
        <v>22</v>
      </c>
      <c r="D167" s="7">
        <v>10.1</v>
      </c>
      <c r="E167" s="7" t="s">
        <v>192</v>
      </c>
      <c r="G167" s="7">
        <v>1</v>
      </c>
      <c r="H167" s="7">
        <v>1</v>
      </c>
      <c r="I167" s="7">
        <v>1</v>
      </c>
      <c r="J167" s="7">
        <v>1</v>
      </c>
      <c r="P167" s="7">
        <v>1</v>
      </c>
    </row>
    <row r="168" spans="1:19" x14ac:dyDescent="0.55000000000000004">
      <c r="A168" s="7">
        <v>6</v>
      </c>
      <c r="B168" s="7">
        <v>1</v>
      </c>
      <c r="C168" s="7">
        <f t="shared" si="6"/>
        <v>23</v>
      </c>
      <c r="D168" s="7">
        <v>2.2999999999999998</v>
      </c>
      <c r="E168" s="7" t="s">
        <v>193</v>
      </c>
      <c r="S168" s="7">
        <v>1</v>
      </c>
    </row>
    <row r="169" spans="1:19" x14ac:dyDescent="0.55000000000000004">
      <c r="A169" s="7">
        <v>6</v>
      </c>
      <c r="B169" s="7">
        <v>1</v>
      </c>
      <c r="C169" s="7">
        <f t="shared" si="6"/>
        <v>24</v>
      </c>
      <c r="D169" s="7">
        <v>2.2999999999999998</v>
      </c>
      <c r="E169" s="7" t="s">
        <v>193</v>
      </c>
      <c r="G169" s="7">
        <v>1</v>
      </c>
      <c r="H169" s="7">
        <v>1</v>
      </c>
      <c r="I169" s="7">
        <v>1</v>
      </c>
      <c r="J169" s="7">
        <v>1</v>
      </c>
      <c r="P169" s="7">
        <v>1</v>
      </c>
      <c r="Q169" s="7">
        <v>1</v>
      </c>
      <c r="R169" s="7">
        <v>1</v>
      </c>
    </row>
    <row r="170" spans="1:19" x14ac:dyDescent="0.55000000000000004">
      <c r="A170" s="7">
        <v>6</v>
      </c>
      <c r="B170" s="7">
        <v>1</v>
      </c>
      <c r="C170" s="7">
        <v>1</v>
      </c>
      <c r="D170" s="7">
        <v>200.1</v>
      </c>
      <c r="E170" s="7" t="s">
        <v>194</v>
      </c>
      <c r="K170" s="7">
        <v>1</v>
      </c>
    </row>
    <row r="171" spans="1:19" x14ac:dyDescent="0.55000000000000004">
      <c r="A171" s="7">
        <v>6</v>
      </c>
      <c r="B171" s="7">
        <v>1</v>
      </c>
      <c r="C171" s="7">
        <f>C170+1</f>
        <v>2</v>
      </c>
      <c r="D171" s="7">
        <v>200.1</v>
      </c>
      <c r="E171" s="7" t="s">
        <v>194</v>
      </c>
      <c r="K171" s="7">
        <v>1</v>
      </c>
    </row>
    <row r="172" spans="1:19" x14ac:dyDescent="0.55000000000000004">
      <c r="A172" s="7">
        <v>6</v>
      </c>
      <c r="B172" s="7">
        <v>1</v>
      </c>
      <c r="C172" s="7">
        <f t="shared" ref="C172:C193" si="7">C171+1</f>
        <v>3</v>
      </c>
      <c r="D172" s="7">
        <v>200.1</v>
      </c>
      <c r="E172" s="7" t="s">
        <v>194</v>
      </c>
      <c r="K172" s="7">
        <v>1</v>
      </c>
    </row>
    <row r="173" spans="1:19" x14ac:dyDescent="0.55000000000000004">
      <c r="A173" s="7">
        <v>6</v>
      </c>
      <c r="B173" s="7">
        <v>1</v>
      </c>
      <c r="C173" s="7">
        <f t="shared" si="7"/>
        <v>4</v>
      </c>
      <c r="D173" s="7">
        <v>200.1</v>
      </c>
      <c r="E173" s="7" t="s">
        <v>194</v>
      </c>
      <c r="K173" s="7">
        <v>1</v>
      </c>
    </row>
    <row r="174" spans="1:19" x14ac:dyDescent="0.55000000000000004">
      <c r="A174" s="7">
        <v>6</v>
      </c>
      <c r="B174" s="7">
        <v>1</v>
      </c>
      <c r="C174" s="7">
        <f t="shared" si="7"/>
        <v>5</v>
      </c>
      <c r="D174" s="7">
        <v>200.1</v>
      </c>
      <c r="E174" s="7" t="s">
        <v>194</v>
      </c>
      <c r="K174" s="7">
        <v>1</v>
      </c>
    </row>
    <row r="175" spans="1:19" x14ac:dyDescent="0.55000000000000004">
      <c r="A175" s="7">
        <v>6</v>
      </c>
      <c r="B175" s="7">
        <v>1</v>
      </c>
      <c r="C175" s="7">
        <f t="shared" si="7"/>
        <v>6</v>
      </c>
      <c r="D175" s="7">
        <v>200.1</v>
      </c>
      <c r="E175" s="7" t="s">
        <v>194</v>
      </c>
      <c r="K175" s="7">
        <v>1</v>
      </c>
    </row>
    <row r="176" spans="1:19" x14ac:dyDescent="0.55000000000000004">
      <c r="A176" s="7">
        <v>6</v>
      </c>
      <c r="B176" s="7">
        <v>1</v>
      </c>
      <c r="C176" s="7">
        <f t="shared" si="7"/>
        <v>7</v>
      </c>
      <c r="D176" s="7">
        <v>100</v>
      </c>
      <c r="E176" s="7" t="s">
        <v>195</v>
      </c>
      <c r="K176" s="7">
        <v>1</v>
      </c>
    </row>
    <row r="177" spans="1:11" x14ac:dyDescent="0.55000000000000004">
      <c r="A177" s="7">
        <v>6</v>
      </c>
      <c r="B177" s="7">
        <v>1</v>
      </c>
      <c r="C177" s="7">
        <f t="shared" si="7"/>
        <v>8</v>
      </c>
      <c r="D177" s="7">
        <v>100</v>
      </c>
      <c r="E177" s="7" t="s">
        <v>195</v>
      </c>
      <c r="K177" s="7">
        <v>1</v>
      </c>
    </row>
    <row r="178" spans="1:11" x14ac:dyDescent="0.55000000000000004">
      <c r="A178" s="7">
        <v>6</v>
      </c>
      <c r="B178" s="7">
        <v>1</v>
      </c>
      <c r="C178" s="7">
        <f t="shared" si="7"/>
        <v>9</v>
      </c>
      <c r="D178" s="7">
        <v>100</v>
      </c>
      <c r="E178" s="7" t="s">
        <v>195</v>
      </c>
      <c r="K178" s="7">
        <v>1</v>
      </c>
    </row>
    <row r="179" spans="1:11" x14ac:dyDescent="0.55000000000000004">
      <c r="A179" s="7">
        <v>6</v>
      </c>
      <c r="B179" s="7">
        <v>1</v>
      </c>
      <c r="C179" s="7">
        <f t="shared" si="7"/>
        <v>10</v>
      </c>
      <c r="D179" s="7">
        <v>100</v>
      </c>
      <c r="E179" s="7" t="s">
        <v>195</v>
      </c>
      <c r="K179" s="7">
        <v>1</v>
      </c>
    </row>
    <row r="180" spans="1:11" x14ac:dyDescent="0.55000000000000004">
      <c r="A180" s="7">
        <v>6</v>
      </c>
      <c r="B180" s="7">
        <v>1</v>
      </c>
      <c r="C180" s="7">
        <f t="shared" si="7"/>
        <v>11</v>
      </c>
      <c r="D180" s="7">
        <v>100</v>
      </c>
      <c r="E180" s="7" t="s">
        <v>195</v>
      </c>
      <c r="K180" s="7">
        <v>1</v>
      </c>
    </row>
    <row r="181" spans="1:11" x14ac:dyDescent="0.55000000000000004">
      <c r="A181" s="7">
        <v>6</v>
      </c>
      <c r="B181" s="7">
        <v>1</v>
      </c>
      <c r="C181" s="7">
        <f t="shared" si="7"/>
        <v>12</v>
      </c>
      <c r="D181" s="7">
        <v>100</v>
      </c>
      <c r="E181" s="7" t="s">
        <v>195</v>
      </c>
      <c r="K181" s="7">
        <v>1</v>
      </c>
    </row>
    <row r="182" spans="1:11" x14ac:dyDescent="0.55000000000000004">
      <c r="A182" s="7">
        <v>6</v>
      </c>
      <c r="B182" s="7">
        <v>1</v>
      </c>
      <c r="C182" s="7">
        <f t="shared" si="7"/>
        <v>13</v>
      </c>
      <c r="D182" s="7">
        <v>40</v>
      </c>
      <c r="E182" s="7" t="s">
        <v>196</v>
      </c>
      <c r="K182" s="7">
        <v>1</v>
      </c>
    </row>
    <row r="183" spans="1:11" x14ac:dyDescent="0.55000000000000004">
      <c r="A183" s="7">
        <v>6</v>
      </c>
      <c r="B183" s="7">
        <v>1</v>
      </c>
      <c r="C183" s="7">
        <f t="shared" si="7"/>
        <v>14</v>
      </c>
      <c r="D183" s="7">
        <v>40</v>
      </c>
      <c r="E183" s="7" t="s">
        <v>196</v>
      </c>
      <c r="K183" s="7">
        <v>1</v>
      </c>
    </row>
    <row r="184" spans="1:11" x14ac:dyDescent="0.55000000000000004">
      <c r="A184" s="7">
        <v>6</v>
      </c>
      <c r="B184" s="7">
        <v>1</v>
      </c>
      <c r="C184" s="7">
        <f t="shared" si="7"/>
        <v>15</v>
      </c>
      <c r="D184" s="7">
        <v>40</v>
      </c>
      <c r="E184" s="7" t="s">
        <v>196</v>
      </c>
      <c r="K184" s="7">
        <v>1</v>
      </c>
    </row>
    <row r="185" spans="1:11" x14ac:dyDescent="0.55000000000000004">
      <c r="A185" s="7">
        <v>6</v>
      </c>
      <c r="B185" s="7">
        <v>1</v>
      </c>
      <c r="C185" s="7">
        <f t="shared" si="7"/>
        <v>16</v>
      </c>
      <c r="D185" s="7">
        <v>40</v>
      </c>
      <c r="E185" s="7" t="s">
        <v>196</v>
      </c>
      <c r="K185" s="7">
        <v>1</v>
      </c>
    </row>
    <row r="186" spans="1:11" x14ac:dyDescent="0.55000000000000004">
      <c r="A186" s="7">
        <v>6</v>
      </c>
      <c r="B186" s="7">
        <v>1</v>
      </c>
      <c r="C186" s="7">
        <f t="shared" si="7"/>
        <v>17</v>
      </c>
      <c r="D186" s="7">
        <v>40</v>
      </c>
      <c r="E186" s="7" t="s">
        <v>196</v>
      </c>
      <c r="K186" s="7">
        <v>1</v>
      </c>
    </row>
    <row r="187" spans="1:11" x14ac:dyDescent="0.55000000000000004">
      <c r="A187" s="7">
        <v>6</v>
      </c>
      <c r="B187" s="7">
        <v>1</v>
      </c>
      <c r="C187" s="7">
        <f t="shared" si="7"/>
        <v>18</v>
      </c>
      <c r="D187" s="7">
        <v>40</v>
      </c>
      <c r="E187" s="7" t="s">
        <v>196</v>
      </c>
      <c r="K187" s="7">
        <v>1</v>
      </c>
    </row>
    <row r="188" spans="1:11" x14ac:dyDescent="0.55000000000000004">
      <c r="A188" s="7">
        <v>6</v>
      </c>
      <c r="B188" s="7">
        <v>1</v>
      </c>
      <c r="C188" s="7">
        <f t="shared" si="7"/>
        <v>19</v>
      </c>
      <c r="D188" s="7">
        <v>20</v>
      </c>
      <c r="E188" s="7" t="s">
        <v>197</v>
      </c>
      <c r="K188" s="7">
        <v>1</v>
      </c>
    </row>
    <row r="189" spans="1:11" x14ac:dyDescent="0.55000000000000004">
      <c r="A189" s="7">
        <v>6</v>
      </c>
      <c r="B189" s="7">
        <v>1</v>
      </c>
      <c r="C189" s="7">
        <f t="shared" si="7"/>
        <v>20</v>
      </c>
      <c r="D189" s="7">
        <v>20</v>
      </c>
      <c r="E189" s="7" t="s">
        <v>197</v>
      </c>
      <c r="K189" s="7">
        <v>1</v>
      </c>
    </row>
    <row r="190" spans="1:11" x14ac:dyDescent="0.55000000000000004">
      <c r="A190" s="7">
        <v>6</v>
      </c>
      <c r="B190" s="7">
        <v>1</v>
      </c>
      <c r="C190" s="7">
        <f t="shared" si="7"/>
        <v>21</v>
      </c>
      <c r="D190" s="7">
        <v>20</v>
      </c>
      <c r="E190" s="7" t="s">
        <v>197</v>
      </c>
      <c r="K190" s="7">
        <v>1</v>
      </c>
    </row>
    <row r="191" spans="1:11" x14ac:dyDescent="0.55000000000000004">
      <c r="A191" s="7">
        <v>6</v>
      </c>
      <c r="B191" s="7">
        <v>1</v>
      </c>
      <c r="C191" s="7">
        <f t="shared" si="7"/>
        <v>22</v>
      </c>
      <c r="D191" s="7">
        <v>20</v>
      </c>
      <c r="E191" s="7" t="s">
        <v>197</v>
      </c>
      <c r="K191" s="7">
        <v>1</v>
      </c>
    </row>
    <row r="192" spans="1:11" x14ac:dyDescent="0.55000000000000004">
      <c r="A192" s="7">
        <v>6</v>
      </c>
      <c r="B192" s="7">
        <v>1</v>
      </c>
      <c r="C192" s="7">
        <f t="shared" si="7"/>
        <v>23</v>
      </c>
      <c r="D192" s="7">
        <v>20</v>
      </c>
      <c r="E192" s="7" t="s">
        <v>197</v>
      </c>
      <c r="K192" s="7">
        <v>1</v>
      </c>
    </row>
    <row r="193" spans="1:16" x14ac:dyDescent="0.55000000000000004">
      <c r="A193" s="7">
        <v>6</v>
      </c>
      <c r="B193" s="7">
        <v>1</v>
      </c>
      <c r="C193" s="7">
        <f t="shared" si="7"/>
        <v>24</v>
      </c>
      <c r="D193" s="7">
        <v>20</v>
      </c>
      <c r="E193" s="7" t="s">
        <v>197</v>
      </c>
      <c r="K193" s="7">
        <v>1</v>
      </c>
    </row>
    <row r="194" spans="1:16" x14ac:dyDescent="0.55000000000000004">
      <c r="A194" s="7">
        <v>7</v>
      </c>
      <c r="B194" s="7">
        <v>1</v>
      </c>
      <c r="C194" s="7">
        <v>1</v>
      </c>
      <c r="D194" s="7">
        <v>243</v>
      </c>
      <c r="E194" s="7" t="s">
        <v>212</v>
      </c>
      <c r="G194" s="7">
        <v>1</v>
      </c>
      <c r="H194" s="7">
        <v>1</v>
      </c>
      <c r="I194" s="7">
        <v>1</v>
      </c>
      <c r="P194" s="7">
        <v>1</v>
      </c>
    </row>
    <row r="195" spans="1:16" x14ac:dyDescent="0.55000000000000004">
      <c r="A195" s="7">
        <v>7</v>
      </c>
      <c r="B195" s="7">
        <v>1</v>
      </c>
      <c r="C195" s="7">
        <f>C194+1</f>
        <v>2</v>
      </c>
      <c r="D195" s="7">
        <v>243</v>
      </c>
      <c r="E195" s="7" t="s">
        <v>212</v>
      </c>
    </row>
    <row r="196" spans="1:16" x14ac:dyDescent="0.55000000000000004">
      <c r="A196" s="7">
        <v>7</v>
      </c>
      <c r="B196" s="7">
        <v>1</v>
      </c>
      <c r="C196" s="7">
        <f t="shared" ref="C196:C216" si="8">C195+1</f>
        <v>3</v>
      </c>
      <c r="D196" s="7">
        <v>200</v>
      </c>
      <c r="E196" s="7" t="s">
        <v>213</v>
      </c>
      <c r="G196" s="7">
        <v>1</v>
      </c>
      <c r="H196" s="7">
        <v>1</v>
      </c>
      <c r="I196" s="7">
        <v>1</v>
      </c>
      <c r="P196" s="7">
        <v>1</v>
      </c>
    </row>
    <row r="197" spans="1:16" x14ac:dyDescent="0.55000000000000004">
      <c r="A197" s="7">
        <v>7</v>
      </c>
      <c r="B197" s="7">
        <v>1</v>
      </c>
      <c r="C197" s="7">
        <f t="shared" si="8"/>
        <v>4</v>
      </c>
      <c r="D197" s="7">
        <v>177</v>
      </c>
      <c r="E197" s="7" t="s">
        <v>214</v>
      </c>
      <c r="G197" s="7">
        <v>1</v>
      </c>
      <c r="H197" s="7">
        <v>1</v>
      </c>
      <c r="I197" s="7">
        <v>1</v>
      </c>
      <c r="P197" s="7">
        <v>1</v>
      </c>
    </row>
    <row r="198" spans="1:16" x14ac:dyDescent="0.55000000000000004">
      <c r="A198" s="7">
        <v>7</v>
      </c>
      <c r="B198" s="7">
        <v>1</v>
      </c>
      <c r="C198" s="7">
        <f t="shared" si="8"/>
        <v>5</v>
      </c>
      <c r="D198" s="7">
        <v>150</v>
      </c>
      <c r="E198" s="7" t="s">
        <v>215</v>
      </c>
      <c r="G198" s="7">
        <v>1</v>
      </c>
      <c r="H198" s="7">
        <v>1</v>
      </c>
      <c r="I198" s="7">
        <v>1</v>
      </c>
      <c r="P198" s="7">
        <v>1</v>
      </c>
    </row>
    <row r="199" spans="1:16" x14ac:dyDescent="0.55000000000000004">
      <c r="A199" s="7">
        <v>7</v>
      </c>
      <c r="B199" s="7">
        <v>1</v>
      </c>
      <c r="C199" s="7">
        <f t="shared" si="8"/>
        <v>6</v>
      </c>
      <c r="D199" s="7">
        <v>130</v>
      </c>
      <c r="E199" s="7" t="s">
        <v>216</v>
      </c>
      <c r="G199" s="7">
        <v>1</v>
      </c>
      <c r="H199" s="7">
        <v>1</v>
      </c>
      <c r="I199" s="7">
        <v>1</v>
      </c>
      <c r="P199" s="7">
        <v>1</v>
      </c>
    </row>
    <row r="200" spans="1:16" x14ac:dyDescent="0.55000000000000004">
      <c r="A200" s="7">
        <v>7</v>
      </c>
      <c r="B200" s="7">
        <v>1</v>
      </c>
      <c r="C200" s="7">
        <f t="shared" si="8"/>
        <v>7</v>
      </c>
      <c r="D200" s="7">
        <v>130</v>
      </c>
      <c r="E200" s="7" t="s">
        <v>216</v>
      </c>
    </row>
    <row r="201" spans="1:16" x14ac:dyDescent="0.55000000000000004">
      <c r="A201" s="7">
        <v>7</v>
      </c>
      <c r="B201" s="7">
        <v>1</v>
      </c>
      <c r="C201" s="7">
        <f t="shared" si="8"/>
        <v>8</v>
      </c>
      <c r="D201" s="7">
        <v>116</v>
      </c>
      <c r="E201" s="7" t="s">
        <v>217</v>
      </c>
      <c r="G201" s="7">
        <v>1</v>
      </c>
      <c r="H201" s="7">
        <v>1</v>
      </c>
      <c r="I201" s="7">
        <v>1</v>
      </c>
      <c r="P201" s="7">
        <v>1</v>
      </c>
    </row>
    <row r="202" spans="1:16" x14ac:dyDescent="0.55000000000000004">
      <c r="A202" s="7">
        <v>7</v>
      </c>
      <c r="B202" s="7">
        <v>1</v>
      </c>
      <c r="C202" s="7">
        <f t="shared" si="8"/>
        <v>9</v>
      </c>
      <c r="D202" s="7">
        <v>117</v>
      </c>
      <c r="E202" s="7" t="s">
        <v>217</v>
      </c>
    </row>
    <row r="203" spans="1:16" x14ac:dyDescent="0.55000000000000004">
      <c r="A203" s="7">
        <v>7</v>
      </c>
      <c r="B203" s="7">
        <v>1</v>
      </c>
      <c r="C203" s="7">
        <f t="shared" si="8"/>
        <v>10</v>
      </c>
      <c r="D203" s="7">
        <v>100</v>
      </c>
      <c r="E203" s="7" t="s">
        <v>218</v>
      </c>
      <c r="G203" s="7">
        <v>1</v>
      </c>
      <c r="H203" s="7">
        <v>1</v>
      </c>
      <c r="I203" s="7">
        <v>1</v>
      </c>
      <c r="M203" s="7">
        <v>1</v>
      </c>
      <c r="N203" s="7">
        <v>1</v>
      </c>
      <c r="P203" s="7">
        <v>1</v>
      </c>
    </row>
    <row r="204" spans="1:16" x14ac:dyDescent="0.55000000000000004">
      <c r="A204" s="7">
        <v>7</v>
      </c>
      <c r="B204" s="7">
        <v>1</v>
      </c>
      <c r="C204" s="7">
        <f t="shared" si="8"/>
        <v>11</v>
      </c>
      <c r="D204" s="7">
        <v>100</v>
      </c>
      <c r="E204" s="7" t="s">
        <v>218</v>
      </c>
    </row>
    <row r="205" spans="1:16" x14ac:dyDescent="0.55000000000000004">
      <c r="A205" s="7">
        <v>7</v>
      </c>
      <c r="B205" s="7">
        <v>1</v>
      </c>
      <c r="C205" s="7">
        <f t="shared" si="8"/>
        <v>12</v>
      </c>
      <c r="D205" s="7">
        <v>85</v>
      </c>
      <c r="E205" s="7" t="s">
        <v>219</v>
      </c>
      <c r="G205" s="7">
        <v>1</v>
      </c>
      <c r="H205" s="7">
        <v>1</v>
      </c>
      <c r="I205" s="7">
        <v>1</v>
      </c>
      <c r="P205" s="7">
        <v>1</v>
      </c>
    </row>
    <row r="206" spans="1:16" x14ac:dyDescent="0.55000000000000004">
      <c r="A206" s="7">
        <v>7</v>
      </c>
      <c r="B206" s="7">
        <v>1</v>
      </c>
      <c r="C206" s="7">
        <f t="shared" si="8"/>
        <v>13</v>
      </c>
      <c r="D206" s="7">
        <v>85</v>
      </c>
      <c r="E206" s="7" t="s">
        <v>219</v>
      </c>
    </row>
    <row r="207" spans="1:16" x14ac:dyDescent="0.55000000000000004">
      <c r="A207" s="7">
        <v>7</v>
      </c>
      <c r="B207" s="7">
        <v>1</v>
      </c>
      <c r="C207" s="7">
        <f t="shared" si="8"/>
        <v>14</v>
      </c>
      <c r="D207" s="7">
        <v>70</v>
      </c>
      <c r="E207" s="7" t="s">
        <v>220</v>
      </c>
      <c r="G207" s="7">
        <v>1</v>
      </c>
      <c r="H207" s="7">
        <v>1</v>
      </c>
      <c r="I207" s="7">
        <v>1</v>
      </c>
      <c r="M207" s="7">
        <v>1</v>
      </c>
      <c r="N207" s="7">
        <v>1</v>
      </c>
      <c r="P207" s="7">
        <v>1</v>
      </c>
    </row>
    <row r="208" spans="1:16" x14ac:dyDescent="0.55000000000000004">
      <c r="A208" s="7">
        <v>7</v>
      </c>
      <c r="B208" s="7">
        <v>1</v>
      </c>
      <c r="C208" s="7">
        <f t="shared" si="8"/>
        <v>15</v>
      </c>
      <c r="D208" s="7">
        <v>70</v>
      </c>
      <c r="E208" s="7" t="s">
        <v>220</v>
      </c>
    </row>
    <row r="209" spans="1:18" x14ac:dyDescent="0.55000000000000004">
      <c r="A209" s="7">
        <v>7</v>
      </c>
      <c r="B209" s="7">
        <v>1</v>
      </c>
      <c r="C209" s="7">
        <f t="shared" si="8"/>
        <v>16</v>
      </c>
      <c r="D209" s="7">
        <v>56</v>
      </c>
      <c r="E209" s="7" t="s">
        <v>221</v>
      </c>
      <c r="G209" s="7">
        <v>1</v>
      </c>
      <c r="H209" s="7">
        <v>1</v>
      </c>
      <c r="I209" s="7">
        <v>1</v>
      </c>
      <c r="M209" s="7">
        <v>1</v>
      </c>
      <c r="N209" s="7">
        <v>1</v>
      </c>
      <c r="P209" s="7">
        <v>1</v>
      </c>
    </row>
    <row r="210" spans="1:18" x14ac:dyDescent="0.55000000000000004">
      <c r="A210" s="7">
        <v>7</v>
      </c>
      <c r="B210" s="7">
        <v>1</v>
      </c>
      <c r="C210" s="7">
        <f t="shared" si="8"/>
        <v>17</v>
      </c>
      <c r="D210" s="7">
        <v>55</v>
      </c>
      <c r="E210" s="7" t="s">
        <v>221</v>
      </c>
    </row>
    <row r="211" spans="1:18" x14ac:dyDescent="0.55000000000000004">
      <c r="A211" s="7">
        <v>7</v>
      </c>
      <c r="B211" s="7">
        <v>1</v>
      </c>
      <c r="C211" s="7">
        <f t="shared" si="8"/>
        <v>18</v>
      </c>
      <c r="D211" s="7">
        <v>41</v>
      </c>
      <c r="E211" s="7" t="s">
        <v>222</v>
      </c>
      <c r="G211" s="7">
        <v>1</v>
      </c>
      <c r="H211" s="7">
        <v>1</v>
      </c>
      <c r="I211" s="7">
        <v>1</v>
      </c>
      <c r="M211" s="7">
        <v>1</v>
      </c>
      <c r="N211" s="7">
        <v>1</v>
      </c>
      <c r="P211" s="7">
        <v>1</v>
      </c>
    </row>
    <row r="212" spans="1:18" x14ac:dyDescent="0.55000000000000004">
      <c r="A212" s="7">
        <v>7</v>
      </c>
      <c r="B212" s="7">
        <v>1</v>
      </c>
      <c r="C212" s="7">
        <f t="shared" si="8"/>
        <v>19</v>
      </c>
      <c r="D212" s="7">
        <v>40</v>
      </c>
      <c r="E212" s="7" t="s">
        <v>222</v>
      </c>
    </row>
    <row r="213" spans="1:18" x14ac:dyDescent="0.55000000000000004">
      <c r="A213" s="7">
        <v>7</v>
      </c>
      <c r="B213" s="7">
        <v>1</v>
      </c>
      <c r="C213" s="7">
        <f t="shared" si="8"/>
        <v>20</v>
      </c>
      <c r="D213" s="7">
        <v>30</v>
      </c>
      <c r="E213" s="7" t="s">
        <v>223</v>
      </c>
      <c r="G213" s="7">
        <v>1</v>
      </c>
      <c r="H213" s="7">
        <v>1</v>
      </c>
      <c r="I213" s="7">
        <v>1</v>
      </c>
      <c r="P213" s="7">
        <v>1</v>
      </c>
    </row>
    <row r="214" spans="1:18" x14ac:dyDescent="0.55000000000000004">
      <c r="A214" s="7">
        <v>7</v>
      </c>
      <c r="B214" s="7">
        <v>1</v>
      </c>
      <c r="C214" s="7">
        <f t="shared" si="8"/>
        <v>21</v>
      </c>
      <c r="D214" s="7">
        <v>20</v>
      </c>
      <c r="E214" s="7" t="s">
        <v>224</v>
      </c>
      <c r="G214" s="7">
        <v>1</v>
      </c>
      <c r="H214" s="7">
        <v>1</v>
      </c>
      <c r="I214" s="7">
        <v>1</v>
      </c>
      <c r="M214" s="7">
        <v>1</v>
      </c>
      <c r="N214" s="7">
        <v>1</v>
      </c>
      <c r="P214" s="7">
        <v>1</v>
      </c>
    </row>
    <row r="215" spans="1:18" x14ac:dyDescent="0.55000000000000004">
      <c r="A215" s="7">
        <v>7</v>
      </c>
      <c r="B215" s="7">
        <v>1</v>
      </c>
      <c r="C215" s="7">
        <f t="shared" si="8"/>
        <v>22</v>
      </c>
      <c r="D215" s="7">
        <v>10</v>
      </c>
      <c r="E215" s="7" t="s">
        <v>225</v>
      </c>
      <c r="G215" s="7">
        <v>1</v>
      </c>
      <c r="H215" s="7">
        <v>1</v>
      </c>
      <c r="I215" s="7">
        <v>1</v>
      </c>
      <c r="P215" s="7">
        <v>1</v>
      </c>
    </row>
    <row r="216" spans="1:18" x14ac:dyDescent="0.55000000000000004">
      <c r="A216" s="7">
        <v>7</v>
      </c>
      <c r="B216" s="7">
        <v>1</v>
      </c>
      <c r="C216" s="7">
        <f t="shared" si="8"/>
        <v>23</v>
      </c>
      <c r="D216" s="7">
        <v>2</v>
      </c>
      <c r="E216" s="7" t="s">
        <v>170</v>
      </c>
    </row>
    <row r="217" spans="1:18" x14ac:dyDescent="0.55000000000000004">
      <c r="A217" s="7">
        <v>7</v>
      </c>
      <c r="B217" s="7">
        <v>1</v>
      </c>
      <c r="C217" s="7">
        <f>C216+1</f>
        <v>24</v>
      </c>
      <c r="D217" s="7">
        <v>2</v>
      </c>
      <c r="E217" s="7" t="s">
        <v>170</v>
      </c>
      <c r="G217" s="7">
        <v>1</v>
      </c>
      <c r="H217" s="7">
        <v>1</v>
      </c>
      <c r="I217" s="7">
        <v>1</v>
      </c>
      <c r="M217" s="7">
        <v>1</v>
      </c>
      <c r="N217" s="7">
        <v>1</v>
      </c>
      <c r="P217" s="7">
        <v>1</v>
      </c>
      <c r="Q217" s="7">
        <v>1</v>
      </c>
      <c r="R217" s="7">
        <v>1</v>
      </c>
    </row>
    <row r="218" spans="1:18" x14ac:dyDescent="0.55000000000000004">
      <c r="A218" s="7">
        <v>8</v>
      </c>
      <c r="B218" s="7">
        <v>1</v>
      </c>
      <c r="C218" s="7">
        <v>1</v>
      </c>
      <c r="D218" s="7">
        <v>560</v>
      </c>
      <c r="E218" s="7" t="s">
        <v>233</v>
      </c>
      <c r="G218" s="7">
        <v>1</v>
      </c>
      <c r="H218" s="7">
        <v>1</v>
      </c>
      <c r="I218" s="7">
        <v>1</v>
      </c>
      <c r="P218" s="7">
        <v>1</v>
      </c>
    </row>
    <row r="219" spans="1:18" x14ac:dyDescent="0.55000000000000004">
      <c r="A219" s="7">
        <v>8</v>
      </c>
      <c r="B219" s="7">
        <v>1</v>
      </c>
      <c r="C219" s="7">
        <f>C218+1</f>
        <v>2</v>
      </c>
      <c r="D219" s="7">
        <v>560</v>
      </c>
      <c r="E219" s="7" t="s">
        <v>233</v>
      </c>
    </row>
    <row r="220" spans="1:18" x14ac:dyDescent="0.55000000000000004">
      <c r="A220" s="7">
        <v>8</v>
      </c>
      <c r="B220" s="7">
        <v>1</v>
      </c>
      <c r="C220" s="7">
        <f t="shared" ref="C220:C241" si="9">C219+1</f>
        <v>3</v>
      </c>
      <c r="D220" s="7">
        <v>500</v>
      </c>
      <c r="E220" s="7" t="s">
        <v>234</v>
      </c>
      <c r="G220" s="7">
        <v>1</v>
      </c>
      <c r="H220" s="7">
        <v>1</v>
      </c>
      <c r="I220" s="7">
        <v>1</v>
      </c>
      <c r="P220" s="7">
        <v>1</v>
      </c>
    </row>
    <row r="221" spans="1:18" x14ac:dyDescent="0.55000000000000004">
      <c r="A221" s="7">
        <v>8</v>
      </c>
      <c r="B221" s="7">
        <v>1</v>
      </c>
      <c r="C221" s="7">
        <f t="shared" si="9"/>
        <v>4</v>
      </c>
      <c r="D221" s="7">
        <v>500</v>
      </c>
      <c r="E221" s="7" t="s">
        <v>234</v>
      </c>
    </row>
    <row r="222" spans="1:18" x14ac:dyDescent="0.55000000000000004">
      <c r="A222" s="7">
        <v>8</v>
      </c>
      <c r="B222" s="7">
        <v>1</v>
      </c>
      <c r="C222" s="7">
        <f t="shared" si="9"/>
        <v>5</v>
      </c>
      <c r="D222" s="7">
        <v>300</v>
      </c>
      <c r="E222" s="7" t="s">
        <v>235</v>
      </c>
      <c r="G222" s="7">
        <v>1</v>
      </c>
      <c r="H222" s="7">
        <v>1</v>
      </c>
      <c r="I222" s="7">
        <v>1</v>
      </c>
      <c r="P222" s="7">
        <v>1</v>
      </c>
    </row>
    <row r="223" spans="1:18" x14ac:dyDescent="0.55000000000000004">
      <c r="A223" s="7">
        <v>8</v>
      </c>
      <c r="B223" s="7">
        <v>1</v>
      </c>
      <c r="C223" s="7">
        <f t="shared" si="9"/>
        <v>6</v>
      </c>
      <c r="D223" s="7">
        <v>300</v>
      </c>
      <c r="E223" s="7" t="s">
        <v>235</v>
      </c>
    </row>
    <row r="224" spans="1:18" x14ac:dyDescent="0.55000000000000004">
      <c r="A224" s="7">
        <v>8</v>
      </c>
      <c r="B224" s="7">
        <v>1</v>
      </c>
      <c r="C224" s="7">
        <f t="shared" si="9"/>
        <v>7</v>
      </c>
      <c r="D224" s="7">
        <v>251</v>
      </c>
      <c r="E224" s="7" t="s">
        <v>236</v>
      </c>
      <c r="G224" s="7">
        <v>1</v>
      </c>
      <c r="H224" s="7">
        <v>1</v>
      </c>
      <c r="I224" s="7">
        <v>1</v>
      </c>
      <c r="P224" s="7">
        <v>1</v>
      </c>
    </row>
    <row r="225" spans="1:16" x14ac:dyDescent="0.55000000000000004">
      <c r="A225" s="7">
        <v>8</v>
      </c>
      <c r="B225" s="7">
        <v>1</v>
      </c>
      <c r="C225" s="7">
        <f t="shared" si="9"/>
        <v>8</v>
      </c>
      <c r="D225" s="7">
        <v>251</v>
      </c>
      <c r="E225" s="7" t="s">
        <v>236</v>
      </c>
    </row>
    <row r="226" spans="1:16" x14ac:dyDescent="0.55000000000000004">
      <c r="A226" s="7">
        <v>8</v>
      </c>
      <c r="B226" s="7">
        <v>1</v>
      </c>
      <c r="C226" s="7">
        <f t="shared" si="9"/>
        <v>9</v>
      </c>
      <c r="D226" s="7">
        <v>201</v>
      </c>
      <c r="E226" s="7" t="s">
        <v>237</v>
      </c>
      <c r="G226" s="7">
        <v>1</v>
      </c>
      <c r="H226" s="7">
        <v>1</v>
      </c>
      <c r="I226" s="7">
        <v>1</v>
      </c>
      <c r="P226" s="7">
        <v>1</v>
      </c>
    </row>
    <row r="227" spans="1:16" x14ac:dyDescent="0.55000000000000004">
      <c r="A227" s="7">
        <v>8</v>
      </c>
      <c r="B227" s="7">
        <v>1</v>
      </c>
      <c r="C227" s="7">
        <f t="shared" si="9"/>
        <v>10</v>
      </c>
      <c r="D227" s="7">
        <v>175</v>
      </c>
      <c r="E227" s="7" t="s">
        <v>238</v>
      </c>
      <c r="G227" s="7">
        <v>1</v>
      </c>
      <c r="H227" s="7">
        <v>1</v>
      </c>
      <c r="I227" s="7">
        <v>1</v>
      </c>
      <c r="P227" s="7">
        <v>1</v>
      </c>
    </row>
    <row r="228" spans="1:16" x14ac:dyDescent="0.55000000000000004">
      <c r="A228" s="7">
        <v>8</v>
      </c>
      <c r="B228" s="7">
        <v>1</v>
      </c>
      <c r="C228" s="7">
        <f t="shared" si="9"/>
        <v>11</v>
      </c>
      <c r="D228" s="7">
        <v>149.80000000000001</v>
      </c>
      <c r="E228" s="7" t="s">
        <v>239</v>
      </c>
      <c r="G228" s="7">
        <v>1</v>
      </c>
      <c r="H228" s="7">
        <v>1</v>
      </c>
      <c r="I228" s="7">
        <v>1</v>
      </c>
      <c r="P228" s="7">
        <v>1</v>
      </c>
    </row>
    <row r="229" spans="1:16" x14ac:dyDescent="0.55000000000000004">
      <c r="A229" s="7">
        <v>8</v>
      </c>
      <c r="B229" s="7">
        <v>1</v>
      </c>
      <c r="C229" s="7">
        <f t="shared" si="9"/>
        <v>12</v>
      </c>
      <c r="D229" s="7">
        <v>130</v>
      </c>
      <c r="E229" s="7" t="s">
        <v>240</v>
      </c>
      <c r="G229" s="7">
        <v>1</v>
      </c>
      <c r="H229" s="7">
        <v>1</v>
      </c>
      <c r="I229" s="7">
        <v>1</v>
      </c>
      <c r="P229" s="7">
        <v>1</v>
      </c>
    </row>
    <row r="230" spans="1:16" x14ac:dyDescent="0.55000000000000004">
      <c r="A230" s="7">
        <v>8</v>
      </c>
      <c r="B230" s="7">
        <v>1</v>
      </c>
      <c r="C230" s="7">
        <f t="shared" si="9"/>
        <v>13</v>
      </c>
      <c r="D230" s="7">
        <v>115</v>
      </c>
      <c r="E230" s="7" t="s">
        <v>241</v>
      </c>
      <c r="G230" s="7">
        <v>1</v>
      </c>
      <c r="H230" s="7">
        <v>1</v>
      </c>
      <c r="I230" s="7">
        <v>1</v>
      </c>
      <c r="P230" s="7">
        <v>1</v>
      </c>
    </row>
    <row r="231" spans="1:16" x14ac:dyDescent="0.55000000000000004">
      <c r="A231" s="7">
        <v>8</v>
      </c>
      <c r="B231" s="7">
        <v>1</v>
      </c>
      <c r="C231" s="7">
        <f t="shared" si="9"/>
        <v>14</v>
      </c>
      <c r="D231" s="7">
        <v>100</v>
      </c>
      <c r="E231" s="7" t="s">
        <v>242</v>
      </c>
      <c r="G231" s="7">
        <v>1</v>
      </c>
      <c r="H231" s="7">
        <v>1</v>
      </c>
      <c r="I231" s="7">
        <v>1</v>
      </c>
      <c r="P231" s="7">
        <v>1</v>
      </c>
    </row>
    <row r="232" spans="1:16" x14ac:dyDescent="0.55000000000000004">
      <c r="A232" s="7">
        <v>8</v>
      </c>
      <c r="B232" s="7">
        <v>1</v>
      </c>
      <c r="C232" s="7">
        <f t="shared" si="9"/>
        <v>15</v>
      </c>
      <c r="D232" s="7">
        <v>85</v>
      </c>
      <c r="E232" s="7" t="s">
        <v>243</v>
      </c>
      <c r="G232" s="7">
        <v>1</v>
      </c>
      <c r="H232" s="7">
        <v>1</v>
      </c>
      <c r="I232" s="7">
        <v>1</v>
      </c>
      <c r="P232" s="7">
        <v>1</v>
      </c>
    </row>
    <row r="233" spans="1:16" x14ac:dyDescent="0.55000000000000004">
      <c r="A233" s="7">
        <v>8</v>
      </c>
      <c r="B233" s="7">
        <v>1</v>
      </c>
      <c r="C233" s="7">
        <f t="shared" si="9"/>
        <v>16</v>
      </c>
      <c r="D233" s="7">
        <v>69.900000000000006</v>
      </c>
      <c r="E233" s="7" t="s">
        <v>244</v>
      </c>
      <c r="G233" s="7">
        <v>1</v>
      </c>
      <c r="H233" s="7">
        <v>1</v>
      </c>
      <c r="I233" s="7">
        <v>1</v>
      </c>
      <c r="P233" s="7">
        <v>1</v>
      </c>
    </row>
    <row r="234" spans="1:16" x14ac:dyDescent="0.55000000000000004">
      <c r="A234" s="7">
        <v>8</v>
      </c>
      <c r="B234" s="7">
        <v>1</v>
      </c>
      <c r="C234" s="7">
        <f t="shared" si="9"/>
        <v>17</v>
      </c>
      <c r="D234" s="7">
        <v>55</v>
      </c>
      <c r="E234" s="7" t="s">
        <v>245</v>
      </c>
      <c r="G234" s="7">
        <v>1</v>
      </c>
      <c r="H234" s="7">
        <v>1</v>
      </c>
      <c r="I234" s="7">
        <v>1</v>
      </c>
      <c r="J234" s="7">
        <v>1</v>
      </c>
      <c r="P234" s="7">
        <v>1</v>
      </c>
    </row>
    <row r="235" spans="1:16" x14ac:dyDescent="0.55000000000000004">
      <c r="A235" s="7">
        <v>8</v>
      </c>
      <c r="B235" s="7">
        <v>1</v>
      </c>
      <c r="C235" s="7">
        <f>C234+1</f>
        <v>18</v>
      </c>
      <c r="D235" s="7">
        <v>39.9</v>
      </c>
      <c r="E235" s="7" t="s">
        <v>246</v>
      </c>
      <c r="G235" s="7">
        <v>1</v>
      </c>
      <c r="H235" s="7">
        <v>1</v>
      </c>
      <c r="I235" s="7">
        <v>1</v>
      </c>
      <c r="J235" s="7">
        <v>1</v>
      </c>
      <c r="P235" s="7">
        <v>1</v>
      </c>
    </row>
    <row r="236" spans="1:16" x14ac:dyDescent="0.55000000000000004">
      <c r="A236" s="7">
        <v>8</v>
      </c>
      <c r="B236" s="7">
        <v>1</v>
      </c>
      <c r="C236" s="7">
        <f t="shared" si="9"/>
        <v>19</v>
      </c>
      <c r="D236" s="7">
        <v>39.9</v>
      </c>
      <c r="E236" s="7" t="s">
        <v>246</v>
      </c>
    </row>
    <row r="237" spans="1:16" x14ac:dyDescent="0.55000000000000004">
      <c r="A237" s="7">
        <v>8</v>
      </c>
      <c r="B237" s="7">
        <v>1</v>
      </c>
      <c r="C237" s="7">
        <f t="shared" si="9"/>
        <v>20</v>
      </c>
      <c r="D237" s="7">
        <v>29.9</v>
      </c>
      <c r="E237" s="7" t="s">
        <v>247</v>
      </c>
      <c r="G237" s="7">
        <v>1</v>
      </c>
      <c r="H237" s="7">
        <v>1</v>
      </c>
      <c r="I237" s="7">
        <v>1</v>
      </c>
      <c r="J237" s="7">
        <v>1</v>
      </c>
      <c r="P237" s="7">
        <v>1</v>
      </c>
    </row>
    <row r="238" spans="1:16" x14ac:dyDescent="0.55000000000000004">
      <c r="A238" s="7">
        <v>8</v>
      </c>
      <c r="B238" s="7">
        <v>1</v>
      </c>
      <c r="C238" s="7">
        <f>C237+1</f>
        <v>21</v>
      </c>
      <c r="D238" s="7">
        <v>20</v>
      </c>
      <c r="E238" s="7" t="s">
        <v>248</v>
      </c>
      <c r="G238" s="7">
        <v>1</v>
      </c>
      <c r="H238" s="7">
        <v>1</v>
      </c>
      <c r="I238" s="7">
        <v>1</v>
      </c>
      <c r="J238" s="7">
        <v>1</v>
      </c>
      <c r="P238" s="7">
        <v>1</v>
      </c>
    </row>
    <row r="239" spans="1:16" x14ac:dyDescent="0.55000000000000004">
      <c r="A239" s="7">
        <v>8</v>
      </c>
      <c r="B239" s="7">
        <v>1</v>
      </c>
      <c r="C239" s="7">
        <f t="shared" si="9"/>
        <v>22</v>
      </c>
      <c r="D239" s="7">
        <v>9.9</v>
      </c>
      <c r="E239" s="7" t="s">
        <v>249</v>
      </c>
      <c r="G239" s="7">
        <v>1</v>
      </c>
      <c r="H239" s="7">
        <v>1</v>
      </c>
      <c r="I239" s="7">
        <v>1</v>
      </c>
      <c r="J239" s="7">
        <v>1</v>
      </c>
      <c r="P239" s="7">
        <v>1</v>
      </c>
    </row>
    <row r="240" spans="1:16" x14ac:dyDescent="0.55000000000000004">
      <c r="A240" s="7">
        <v>8</v>
      </c>
      <c r="B240" s="7">
        <v>1</v>
      </c>
      <c r="C240" s="7">
        <f t="shared" si="9"/>
        <v>23</v>
      </c>
      <c r="D240" s="7">
        <v>3.3</v>
      </c>
      <c r="E240" s="7" t="s">
        <v>250</v>
      </c>
    </row>
    <row r="241" spans="1:18" x14ac:dyDescent="0.55000000000000004">
      <c r="A241" s="7">
        <v>8</v>
      </c>
      <c r="B241" s="7">
        <v>1</v>
      </c>
      <c r="C241" s="7">
        <f t="shared" si="9"/>
        <v>24</v>
      </c>
      <c r="D241" s="7">
        <v>3.3</v>
      </c>
      <c r="E241" s="7" t="s">
        <v>250</v>
      </c>
      <c r="G241" s="7">
        <v>1</v>
      </c>
      <c r="H241" s="7">
        <v>1</v>
      </c>
      <c r="I241" s="7">
        <v>1</v>
      </c>
      <c r="J241" s="7">
        <v>1</v>
      </c>
      <c r="P241" s="7">
        <v>1</v>
      </c>
      <c r="Q241" s="7">
        <v>1</v>
      </c>
      <c r="R241" s="7">
        <v>1</v>
      </c>
    </row>
    <row r="242" spans="1:18" x14ac:dyDescent="0.55000000000000004">
      <c r="A242" s="7">
        <v>9</v>
      </c>
      <c r="B242" s="7">
        <v>2</v>
      </c>
      <c r="C242" s="7">
        <v>1</v>
      </c>
      <c r="D242" s="7">
        <v>250.3</v>
      </c>
      <c r="E242" s="7" t="s">
        <v>251</v>
      </c>
      <c r="K242" s="7">
        <v>1</v>
      </c>
    </row>
    <row r="243" spans="1:18" x14ac:dyDescent="0.55000000000000004">
      <c r="A243" s="7">
        <v>9</v>
      </c>
      <c r="B243" s="7">
        <v>2</v>
      </c>
      <c r="C243" s="7">
        <f>C242+1</f>
        <v>2</v>
      </c>
      <c r="D243" s="7">
        <v>250.3</v>
      </c>
      <c r="E243" s="7" t="s">
        <v>251</v>
      </c>
      <c r="K243" s="7">
        <v>1</v>
      </c>
    </row>
    <row r="244" spans="1:18" x14ac:dyDescent="0.55000000000000004">
      <c r="A244" s="7">
        <v>9</v>
      </c>
      <c r="B244" s="7">
        <v>2</v>
      </c>
      <c r="C244" s="7">
        <f t="shared" ref="C244:C265" si="10">C243+1</f>
        <v>3</v>
      </c>
      <c r="D244" s="7">
        <v>250.3</v>
      </c>
      <c r="E244" s="7" t="s">
        <v>251</v>
      </c>
      <c r="K244" s="7">
        <v>1</v>
      </c>
    </row>
    <row r="245" spans="1:18" x14ac:dyDescent="0.55000000000000004">
      <c r="A245" s="7">
        <v>9</v>
      </c>
      <c r="B245" s="7">
        <v>2</v>
      </c>
      <c r="C245" s="7">
        <f t="shared" si="10"/>
        <v>4</v>
      </c>
      <c r="D245" s="7">
        <v>250.3</v>
      </c>
      <c r="E245" s="7" t="s">
        <v>251</v>
      </c>
      <c r="K245" s="7">
        <v>1</v>
      </c>
    </row>
    <row r="246" spans="1:18" x14ac:dyDescent="0.55000000000000004">
      <c r="A246" s="7">
        <v>9</v>
      </c>
      <c r="B246" s="7">
        <v>2</v>
      </c>
      <c r="C246" s="7">
        <f t="shared" si="10"/>
        <v>5</v>
      </c>
      <c r="D246" s="7">
        <v>250.3</v>
      </c>
      <c r="E246" s="7" t="s">
        <v>251</v>
      </c>
      <c r="K246" s="7">
        <v>1</v>
      </c>
    </row>
    <row r="247" spans="1:18" x14ac:dyDescent="0.55000000000000004">
      <c r="A247" s="7">
        <v>9</v>
      </c>
      <c r="B247" s="7">
        <v>2</v>
      </c>
      <c r="C247" s="7">
        <f t="shared" si="10"/>
        <v>6</v>
      </c>
      <c r="D247" s="7">
        <v>250.3</v>
      </c>
      <c r="E247" s="7" t="s">
        <v>251</v>
      </c>
      <c r="K247" s="7">
        <v>1</v>
      </c>
    </row>
    <row r="248" spans="1:18" x14ac:dyDescent="0.55000000000000004">
      <c r="A248" s="7">
        <v>9</v>
      </c>
      <c r="B248" s="7">
        <v>2</v>
      </c>
      <c r="C248" s="7">
        <f t="shared" si="10"/>
        <v>7</v>
      </c>
      <c r="D248" s="7">
        <v>100.1</v>
      </c>
      <c r="E248" s="7" t="s">
        <v>252</v>
      </c>
      <c r="K248" s="7">
        <v>1</v>
      </c>
    </row>
    <row r="249" spans="1:18" x14ac:dyDescent="0.55000000000000004">
      <c r="A249" s="7">
        <v>9</v>
      </c>
      <c r="B249" s="7">
        <v>2</v>
      </c>
      <c r="C249" s="7">
        <f t="shared" si="10"/>
        <v>8</v>
      </c>
      <c r="D249" s="7">
        <v>100.1</v>
      </c>
      <c r="E249" s="7" t="s">
        <v>252</v>
      </c>
      <c r="K249" s="7">
        <v>1</v>
      </c>
    </row>
    <row r="250" spans="1:18" x14ac:dyDescent="0.55000000000000004">
      <c r="A250" s="7">
        <v>9</v>
      </c>
      <c r="B250" s="7">
        <v>2</v>
      </c>
      <c r="C250" s="7">
        <f t="shared" si="10"/>
        <v>9</v>
      </c>
      <c r="D250" s="7">
        <v>100.1</v>
      </c>
      <c r="E250" s="7" t="s">
        <v>252</v>
      </c>
      <c r="K250" s="7">
        <v>1</v>
      </c>
    </row>
    <row r="251" spans="1:18" x14ac:dyDescent="0.55000000000000004">
      <c r="A251" s="7">
        <v>9</v>
      </c>
      <c r="B251" s="7">
        <v>2</v>
      </c>
      <c r="C251" s="7">
        <f t="shared" si="10"/>
        <v>10</v>
      </c>
      <c r="D251" s="7">
        <v>100.1</v>
      </c>
      <c r="E251" s="7" t="s">
        <v>252</v>
      </c>
      <c r="K251" s="7">
        <v>1</v>
      </c>
    </row>
    <row r="252" spans="1:18" x14ac:dyDescent="0.55000000000000004">
      <c r="A252" s="7">
        <v>9</v>
      </c>
      <c r="B252" s="7">
        <v>2</v>
      </c>
      <c r="C252" s="7">
        <f t="shared" si="10"/>
        <v>11</v>
      </c>
      <c r="D252" s="7">
        <v>100.1</v>
      </c>
      <c r="E252" s="7" t="s">
        <v>252</v>
      </c>
      <c r="K252" s="7">
        <v>1</v>
      </c>
    </row>
    <row r="253" spans="1:18" x14ac:dyDescent="0.55000000000000004">
      <c r="A253" s="7">
        <v>9</v>
      </c>
      <c r="B253" s="7">
        <v>2</v>
      </c>
      <c r="C253" s="7">
        <f t="shared" si="10"/>
        <v>12</v>
      </c>
      <c r="D253" s="7">
        <v>100.1</v>
      </c>
      <c r="E253" s="7" t="s">
        <v>252</v>
      </c>
      <c r="K253" s="7">
        <v>1</v>
      </c>
    </row>
    <row r="254" spans="1:18" x14ac:dyDescent="0.55000000000000004">
      <c r="A254" s="7">
        <v>9</v>
      </c>
      <c r="B254" s="7">
        <v>2</v>
      </c>
      <c r="C254" s="7">
        <f t="shared" si="10"/>
        <v>13</v>
      </c>
      <c r="D254" s="7">
        <v>39.700000000000003</v>
      </c>
      <c r="E254" s="7" t="s">
        <v>253</v>
      </c>
      <c r="K254" s="7">
        <v>1</v>
      </c>
    </row>
    <row r="255" spans="1:18" x14ac:dyDescent="0.55000000000000004">
      <c r="A255" s="7">
        <v>9</v>
      </c>
      <c r="B255" s="7">
        <v>2</v>
      </c>
      <c r="C255" s="7">
        <f t="shared" si="10"/>
        <v>14</v>
      </c>
      <c r="D255" s="7">
        <v>39.700000000000003</v>
      </c>
      <c r="E255" s="7" t="s">
        <v>253</v>
      </c>
      <c r="K255" s="7">
        <v>1</v>
      </c>
    </row>
    <row r="256" spans="1:18" x14ac:dyDescent="0.55000000000000004">
      <c r="A256" s="7">
        <v>9</v>
      </c>
      <c r="B256" s="7">
        <v>2</v>
      </c>
      <c r="C256" s="7">
        <f t="shared" si="10"/>
        <v>15</v>
      </c>
      <c r="D256" s="7">
        <v>39.700000000000003</v>
      </c>
      <c r="E256" s="7" t="s">
        <v>253</v>
      </c>
      <c r="K256" s="7">
        <v>1</v>
      </c>
    </row>
    <row r="257" spans="1:16" x14ac:dyDescent="0.55000000000000004">
      <c r="A257" s="7">
        <v>9</v>
      </c>
      <c r="B257" s="7">
        <v>2</v>
      </c>
      <c r="C257" s="7">
        <f t="shared" si="10"/>
        <v>16</v>
      </c>
      <c r="D257" s="7">
        <v>39.700000000000003</v>
      </c>
      <c r="E257" s="7" t="s">
        <v>253</v>
      </c>
      <c r="K257" s="7">
        <v>1</v>
      </c>
    </row>
    <row r="258" spans="1:16" x14ac:dyDescent="0.55000000000000004">
      <c r="A258" s="7">
        <v>9</v>
      </c>
      <c r="B258" s="7">
        <v>2</v>
      </c>
      <c r="C258" s="7">
        <f t="shared" si="10"/>
        <v>17</v>
      </c>
      <c r="D258" s="7">
        <v>39.700000000000003</v>
      </c>
      <c r="E258" s="7" t="s">
        <v>253</v>
      </c>
      <c r="K258" s="7">
        <v>1</v>
      </c>
    </row>
    <row r="259" spans="1:16" x14ac:dyDescent="0.55000000000000004">
      <c r="A259" s="7">
        <v>9</v>
      </c>
      <c r="B259" s="7">
        <v>2</v>
      </c>
      <c r="C259" s="7">
        <f t="shared" si="10"/>
        <v>18</v>
      </c>
      <c r="D259" s="7">
        <v>39.700000000000003</v>
      </c>
      <c r="E259" s="7" t="s">
        <v>253</v>
      </c>
      <c r="K259" s="7">
        <v>1</v>
      </c>
    </row>
    <row r="260" spans="1:16" x14ac:dyDescent="0.55000000000000004">
      <c r="A260" s="7">
        <v>9</v>
      </c>
      <c r="B260" s="7">
        <v>2</v>
      </c>
      <c r="C260" s="7">
        <f t="shared" si="10"/>
        <v>19</v>
      </c>
      <c r="D260" s="7">
        <v>20.399999999999999</v>
      </c>
      <c r="E260" s="7" t="s">
        <v>254</v>
      </c>
      <c r="K260" s="7">
        <v>1</v>
      </c>
    </row>
    <row r="261" spans="1:16" x14ac:dyDescent="0.55000000000000004">
      <c r="A261" s="7">
        <v>9</v>
      </c>
      <c r="B261" s="7">
        <v>2</v>
      </c>
      <c r="C261" s="7">
        <f t="shared" si="10"/>
        <v>20</v>
      </c>
      <c r="D261" s="7">
        <v>20.399999999999999</v>
      </c>
      <c r="E261" s="7" t="s">
        <v>254</v>
      </c>
      <c r="K261" s="7">
        <v>1</v>
      </c>
    </row>
    <row r="262" spans="1:16" x14ac:dyDescent="0.55000000000000004">
      <c r="A262" s="7">
        <v>9</v>
      </c>
      <c r="B262" s="7">
        <v>2</v>
      </c>
      <c r="C262" s="7">
        <f>C261+1</f>
        <v>21</v>
      </c>
      <c r="D262" s="7">
        <v>20.399999999999999</v>
      </c>
      <c r="E262" s="7" t="s">
        <v>254</v>
      </c>
      <c r="K262" s="7">
        <v>1</v>
      </c>
    </row>
    <row r="263" spans="1:16" x14ac:dyDescent="0.55000000000000004">
      <c r="A263" s="7">
        <v>9</v>
      </c>
      <c r="B263" s="7">
        <v>2</v>
      </c>
      <c r="C263" s="7">
        <f t="shared" si="10"/>
        <v>22</v>
      </c>
      <c r="D263" s="7">
        <v>20.399999999999999</v>
      </c>
      <c r="E263" s="7" t="s">
        <v>254</v>
      </c>
      <c r="K263" s="7">
        <v>1</v>
      </c>
    </row>
    <row r="264" spans="1:16" x14ac:dyDescent="0.55000000000000004">
      <c r="A264" s="7">
        <v>9</v>
      </c>
      <c r="B264" s="7">
        <v>2</v>
      </c>
      <c r="C264" s="7">
        <f t="shared" si="10"/>
        <v>23</v>
      </c>
      <c r="D264" s="7">
        <v>20.399999999999999</v>
      </c>
      <c r="E264" s="7" t="s">
        <v>254</v>
      </c>
      <c r="K264" s="7">
        <v>1</v>
      </c>
    </row>
    <row r="265" spans="1:16" x14ac:dyDescent="0.55000000000000004">
      <c r="A265" s="7">
        <v>9</v>
      </c>
      <c r="B265" s="7">
        <v>2</v>
      </c>
      <c r="C265" s="7">
        <f t="shared" si="10"/>
        <v>24</v>
      </c>
      <c r="D265" s="7">
        <v>20.399999999999999</v>
      </c>
      <c r="E265" s="7" t="s">
        <v>254</v>
      </c>
      <c r="K265" s="7">
        <v>1</v>
      </c>
    </row>
    <row r="266" spans="1:16" x14ac:dyDescent="0.55000000000000004">
      <c r="A266" s="7">
        <v>9</v>
      </c>
      <c r="B266" s="7">
        <v>3</v>
      </c>
      <c r="C266" s="7">
        <v>1</v>
      </c>
      <c r="D266" s="7">
        <v>1161.8</v>
      </c>
      <c r="E266" s="7" t="s">
        <v>255</v>
      </c>
      <c r="G266" s="7">
        <v>1</v>
      </c>
      <c r="H266" s="7">
        <v>1</v>
      </c>
      <c r="I266" s="7">
        <v>1</v>
      </c>
      <c r="P266" s="7">
        <v>1</v>
      </c>
    </row>
    <row r="267" spans="1:16" x14ac:dyDescent="0.55000000000000004">
      <c r="A267" s="7">
        <v>9</v>
      </c>
      <c r="B267" s="7">
        <v>3</v>
      </c>
      <c r="C267" s="7">
        <f>C266+1</f>
        <v>2</v>
      </c>
      <c r="D267" s="7">
        <v>1161.8</v>
      </c>
      <c r="E267" s="7" t="s">
        <v>255</v>
      </c>
    </row>
    <row r="268" spans="1:16" x14ac:dyDescent="0.55000000000000004">
      <c r="A268" s="7">
        <v>9</v>
      </c>
      <c r="B268" s="7">
        <v>3</v>
      </c>
      <c r="C268" s="7">
        <f t="shared" ref="C268:C289" si="11">C267+1</f>
        <v>3</v>
      </c>
      <c r="D268" s="7">
        <v>1000.1</v>
      </c>
      <c r="E268" s="7" t="s">
        <v>256</v>
      </c>
      <c r="G268" s="7">
        <v>1</v>
      </c>
      <c r="H268" s="7">
        <v>1</v>
      </c>
      <c r="I268" s="7">
        <v>1</v>
      </c>
      <c r="P268" s="7">
        <v>1</v>
      </c>
    </row>
    <row r="269" spans="1:16" x14ac:dyDescent="0.55000000000000004">
      <c r="A269" s="7">
        <v>9</v>
      </c>
      <c r="B269" s="7">
        <v>3</v>
      </c>
      <c r="C269" s="7">
        <f t="shared" si="11"/>
        <v>4</v>
      </c>
      <c r="D269" s="7">
        <v>749.9</v>
      </c>
      <c r="E269" s="7" t="s">
        <v>258</v>
      </c>
      <c r="G269" s="7">
        <v>1</v>
      </c>
      <c r="H269" s="7">
        <v>1</v>
      </c>
      <c r="I269" s="7">
        <v>1</v>
      </c>
      <c r="P269" s="7">
        <v>1</v>
      </c>
    </row>
    <row r="270" spans="1:16" x14ac:dyDescent="0.55000000000000004">
      <c r="A270" s="7">
        <v>9</v>
      </c>
      <c r="B270" s="7">
        <v>3</v>
      </c>
      <c r="C270" s="7">
        <f t="shared" si="11"/>
        <v>5</v>
      </c>
      <c r="D270" s="7">
        <v>500.4</v>
      </c>
      <c r="E270" s="7" t="s">
        <v>259</v>
      </c>
      <c r="G270" s="7">
        <v>1</v>
      </c>
      <c r="H270" s="7">
        <v>1</v>
      </c>
      <c r="I270" s="7">
        <v>1</v>
      </c>
      <c r="P270" s="7">
        <v>1</v>
      </c>
    </row>
    <row r="271" spans="1:16" x14ac:dyDescent="0.55000000000000004">
      <c r="A271" s="7">
        <v>9</v>
      </c>
      <c r="B271" s="7">
        <v>3</v>
      </c>
      <c r="C271" s="7">
        <f t="shared" si="11"/>
        <v>6</v>
      </c>
      <c r="D271" s="7">
        <v>300.60000000000002</v>
      </c>
      <c r="E271" s="7" t="s">
        <v>260</v>
      </c>
      <c r="G271" s="7">
        <v>1</v>
      </c>
      <c r="H271" s="7">
        <v>1</v>
      </c>
      <c r="I271" s="7">
        <v>1</v>
      </c>
      <c r="P271" s="7">
        <v>1</v>
      </c>
    </row>
    <row r="272" spans="1:16" x14ac:dyDescent="0.55000000000000004">
      <c r="A272" s="7">
        <v>9</v>
      </c>
      <c r="B272" s="7">
        <v>3</v>
      </c>
      <c r="C272" s="7">
        <f t="shared" si="11"/>
        <v>7</v>
      </c>
      <c r="D272" s="7">
        <v>249.5</v>
      </c>
      <c r="E272" s="7" t="s">
        <v>261</v>
      </c>
      <c r="G272" s="7">
        <v>1</v>
      </c>
      <c r="H272" s="7">
        <v>1</v>
      </c>
      <c r="I272" s="7">
        <v>1</v>
      </c>
      <c r="P272" s="7">
        <v>1</v>
      </c>
    </row>
    <row r="273" spans="1:16" x14ac:dyDescent="0.55000000000000004">
      <c r="A273" s="7">
        <v>9</v>
      </c>
      <c r="B273" s="7">
        <v>3</v>
      </c>
      <c r="C273" s="7">
        <f t="shared" si="11"/>
        <v>8</v>
      </c>
      <c r="D273" s="7">
        <v>200.4</v>
      </c>
      <c r="E273" s="7" t="s">
        <v>262</v>
      </c>
      <c r="G273" s="7">
        <v>1</v>
      </c>
      <c r="H273" s="7">
        <v>1</v>
      </c>
      <c r="I273" s="7">
        <v>1</v>
      </c>
      <c r="P273" s="7">
        <v>1</v>
      </c>
    </row>
    <row r="274" spans="1:16" x14ac:dyDescent="0.55000000000000004">
      <c r="A274" s="7">
        <v>9</v>
      </c>
      <c r="B274" s="7">
        <v>3</v>
      </c>
      <c r="C274" s="7">
        <f t="shared" si="11"/>
        <v>9</v>
      </c>
      <c r="D274" s="7">
        <v>175</v>
      </c>
      <c r="E274" s="7" t="s">
        <v>263</v>
      </c>
      <c r="G274" s="7">
        <v>1</v>
      </c>
      <c r="H274" s="7">
        <v>1</v>
      </c>
      <c r="I274" s="7">
        <v>1</v>
      </c>
      <c r="P274" s="7">
        <v>1</v>
      </c>
    </row>
    <row r="275" spans="1:16" x14ac:dyDescent="0.55000000000000004">
      <c r="A275" s="7">
        <v>9</v>
      </c>
      <c r="B275" s="7">
        <v>3</v>
      </c>
      <c r="C275" s="7">
        <f t="shared" si="11"/>
        <v>10</v>
      </c>
      <c r="D275" s="7">
        <v>149.19999999999999</v>
      </c>
      <c r="E275" s="7" t="s">
        <v>264</v>
      </c>
      <c r="G275" s="7">
        <v>1</v>
      </c>
      <c r="H275" s="7">
        <v>1</v>
      </c>
      <c r="I275" s="7">
        <v>1</v>
      </c>
      <c r="P275" s="7">
        <v>1</v>
      </c>
    </row>
    <row r="276" spans="1:16" x14ac:dyDescent="0.55000000000000004">
      <c r="A276" s="7">
        <v>9</v>
      </c>
      <c r="B276" s="7">
        <v>3</v>
      </c>
      <c r="C276" s="7">
        <f t="shared" si="11"/>
        <v>11</v>
      </c>
      <c r="D276" s="7">
        <v>129.4</v>
      </c>
      <c r="E276" s="7" t="s">
        <v>265</v>
      </c>
      <c r="G276" s="7">
        <v>1</v>
      </c>
      <c r="H276" s="7">
        <v>1</v>
      </c>
      <c r="I276" s="7">
        <v>1</v>
      </c>
      <c r="P276" s="7">
        <v>1</v>
      </c>
    </row>
    <row r="277" spans="1:16" x14ac:dyDescent="0.55000000000000004">
      <c r="A277" s="7">
        <v>9</v>
      </c>
      <c r="B277" s="7">
        <v>3</v>
      </c>
      <c r="C277" s="7">
        <f t="shared" si="11"/>
        <v>12</v>
      </c>
      <c r="D277" s="7">
        <v>114.9</v>
      </c>
      <c r="E277" s="7" t="s">
        <v>266</v>
      </c>
      <c r="G277" s="7">
        <v>1</v>
      </c>
      <c r="H277" s="7">
        <v>1</v>
      </c>
      <c r="I277" s="7">
        <v>1</v>
      </c>
      <c r="P277" s="7">
        <v>1</v>
      </c>
    </row>
    <row r="278" spans="1:16" x14ac:dyDescent="0.55000000000000004">
      <c r="A278" s="7">
        <v>9</v>
      </c>
      <c r="B278" s="7">
        <v>3</v>
      </c>
      <c r="C278" s="7">
        <f t="shared" si="11"/>
        <v>13</v>
      </c>
      <c r="D278" s="7">
        <v>99.7</v>
      </c>
      <c r="E278" s="7" t="s">
        <v>257</v>
      </c>
      <c r="G278" s="7">
        <v>1</v>
      </c>
      <c r="H278" s="7">
        <v>1</v>
      </c>
      <c r="I278" s="7">
        <v>1</v>
      </c>
      <c r="M278" s="7">
        <v>1</v>
      </c>
      <c r="N278" s="7">
        <v>1</v>
      </c>
      <c r="P278" s="7">
        <v>1</v>
      </c>
    </row>
    <row r="279" spans="1:16" x14ac:dyDescent="0.55000000000000004">
      <c r="A279" s="7">
        <v>9</v>
      </c>
      <c r="B279" s="7">
        <v>3</v>
      </c>
      <c r="C279" s="7">
        <f t="shared" si="11"/>
        <v>14</v>
      </c>
      <c r="D279" s="7">
        <v>85.5</v>
      </c>
      <c r="E279" s="7" t="s">
        <v>267</v>
      </c>
      <c r="G279" s="7">
        <v>1</v>
      </c>
      <c r="H279" s="7">
        <v>1</v>
      </c>
      <c r="I279" s="7">
        <v>1</v>
      </c>
      <c r="P279" s="7">
        <v>1</v>
      </c>
    </row>
    <row r="280" spans="1:16" x14ac:dyDescent="0.55000000000000004">
      <c r="A280" s="7">
        <v>9</v>
      </c>
      <c r="B280" s="7">
        <v>3</v>
      </c>
      <c r="C280" s="7">
        <f t="shared" si="11"/>
        <v>15</v>
      </c>
      <c r="D280" s="7">
        <v>70</v>
      </c>
      <c r="E280" s="7" t="s">
        <v>268</v>
      </c>
      <c r="G280" s="7">
        <v>1</v>
      </c>
      <c r="H280" s="7">
        <v>1</v>
      </c>
      <c r="I280" s="7">
        <v>1</v>
      </c>
      <c r="M280" s="7">
        <v>1</v>
      </c>
      <c r="N280" s="7">
        <v>1</v>
      </c>
      <c r="P280" s="7">
        <v>1</v>
      </c>
    </row>
    <row r="281" spans="1:16" x14ac:dyDescent="0.55000000000000004">
      <c r="A281" s="7">
        <v>9</v>
      </c>
      <c r="B281" s="7">
        <v>3</v>
      </c>
      <c r="C281" s="7">
        <f t="shared" si="11"/>
        <v>16</v>
      </c>
      <c r="D281" s="7">
        <v>54.9</v>
      </c>
      <c r="E281" s="7" t="s">
        <v>269</v>
      </c>
      <c r="G281" s="7">
        <v>1</v>
      </c>
      <c r="H281" s="7">
        <v>1</v>
      </c>
      <c r="I281" s="7">
        <v>1</v>
      </c>
      <c r="J281" s="7">
        <v>1</v>
      </c>
      <c r="P281" s="7">
        <v>1</v>
      </c>
    </row>
    <row r="282" spans="1:16" x14ac:dyDescent="0.55000000000000004">
      <c r="A282" s="7">
        <v>9</v>
      </c>
      <c r="B282" s="7">
        <v>3</v>
      </c>
      <c r="C282" s="7">
        <f t="shared" si="11"/>
        <v>17</v>
      </c>
      <c r="D282" s="7">
        <v>40.1</v>
      </c>
      <c r="E282" s="7" t="s">
        <v>271</v>
      </c>
      <c r="G282" s="7">
        <v>1</v>
      </c>
      <c r="H282" s="7">
        <v>1</v>
      </c>
      <c r="I282" s="7">
        <v>1</v>
      </c>
      <c r="J282" s="7">
        <v>1</v>
      </c>
      <c r="M282" s="7">
        <v>1</v>
      </c>
      <c r="N282" s="7">
        <v>1</v>
      </c>
      <c r="P282" s="7">
        <v>1</v>
      </c>
    </row>
    <row r="283" spans="1:16" x14ac:dyDescent="0.55000000000000004">
      <c r="A283" s="7">
        <v>9</v>
      </c>
      <c r="B283" s="7">
        <v>3</v>
      </c>
      <c r="C283" s="7">
        <f t="shared" si="11"/>
        <v>18</v>
      </c>
      <c r="D283" s="7">
        <v>40.1</v>
      </c>
      <c r="E283" s="7" t="s">
        <v>271</v>
      </c>
    </row>
    <row r="284" spans="1:16" x14ac:dyDescent="0.55000000000000004">
      <c r="A284" s="7">
        <v>9</v>
      </c>
      <c r="B284" s="7">
        <v>3</v>
      </c>
      <c r="C284" s="7">
        <f t="shared" si="11"/>
        <v>19</v>
      </c>
      <c r="D284" s="7">
        <v>30.1</v>
      </c>
      <c r="E284" s="7" t="s">
        <v>270</v>
      </c>
      <c r="G284" s="7">
        <v>1</v>
      </c>
      <c r="H284" s="7">
        <v>1</v>
      </c>
      <c r="I284" s="7">
        <v>1</v>
      </c>
      <c r="J284" s="7">
        <v>1</v>
      </c>
      <c r="M284" s="7">
        <v>1</v>
      </c>
      <c r="N284" s="7">
        <v>1</v>
      </c>
      <c r="P284" s="7">
        <v>1</v>
      </c>
    </row>
    <row r="285" spans="1:16" x14ac:dyDescent="0.55000000000000004">
      <c r="A285" s="7">
        <v>9</v>
      </c>
      <c r="B285" s="7">
        <v>3</v>
      </c>
      <c r="C285" s="7">
        <f t="shared" si="11"/>
        <v>20</v>
      </c>
      <c r="D285" s="7">
        <v>20.3</v>
      </c>
      <c r="E285" s="7" t="s">
        <v>272</v>
      </c>
      <c r="G285" s="7">
        <v>1</v>
      </c>
      <c r="H285" s="7">
        <v>1</v>
      </c>
      <c r="I285" s="7">
        <v>1</v>
      </c>
      <c r="J285" s="7">
        <v>1</v>
      </c>
      <c r="P285" s="7">
        <v>1</v>
      </c>
    </row>
    <row r="286" spans="1:16" x14ac:dyDescent="0.55000000000000004">
      <c r="A286" s="7">
        <v>9</v>
      </c>
      <c r="B286" s="7">
        <v>3</v>
      </c>
      <c r="C286" s="7">
        <f>C285+1</f>
        <v>21</v>
      </c>
      <c r="D286" s="7">
        <v>20.3</v>
      </c>
      <c r="E286" s="7" t="s">
        <v>272</v>
      </c>
    </row>
    <row r="287" spans="1:16" x14ac:dyDescent="0.55000000000000004">
      <c r="A287" s="7">
        <v>9</v>
      </c>
      <c r="B287" s="7">
        <v>3</v>
      </c>
      <c r="C287" s="7">
        <f t="shared" si="11"/>
        <v>22</v>
      </c>
      <c r="D287" s="7">
        <v>10</v>
      </c>
      <c r="E287" s="7" t="s">
        <v>273</v>
      </c>
      <c r="G287" s="7">
        <v>1</v>
      </c>
      <c r="H287" s="7">
        <v>1</v>
      </c>
      <c r="I287" s="7">
        <v>1</v>
      </c>
      <c r="J287" s="7">
        <v>1</v>
      </c>
      <c r="M287" s="7">
        <v>1</v>
      </c>
      <c r="N287" s="7">
        <v>1</v>
      </c>
      <c r="P287" s="7">
        <v>1</v>
      </c>
    </row>
    <row r="288" spans="1:16" x14ac:dyDescent="0.55000000000000004">
      <c r="A288" s="7">
        <v>9</v>
      </c>
      <c r="B288" s="7">
        <v>3</v>
      </c>
      <c r="C288" s="7">
        <f t="shared" si="11"/>
        <v>23</v>
      </c>
      <c r="D288" s="7">
        <v>2.5</v>
      </c>
      <c r="E288" s="7" t="s">
        <v>274</v>
      </c>
    </row>
    <row r="289" spans="1:18" x14ac:dyDescent="0.55000000000000004">
      <c r="A289" s="7">
        <v>9</v>
      </c>
      <c r="B289" s="7">
        <v>3</v>
      </c>
      <c r="C289" s="7">
        <f t="shared" si="11"/>
        <v>24</v>
      </c>
      <c r="D289" s="7">
        <v>2.5</v>
      </c>
      <c r="E289" s="7" t="s">
        <v>274</v>
      </c>
      <c r="G289" s="7">
        <v>1</v>
      </c>
      <c r="H289" s="7">
        <v>1</v>
      </c>
      <c r="I289" s="7">
        <v>1</v>
      </c>
      <c r="J289" s="7">
        <v>1</v>
      </c>
      <c r="M289" s="7">
        <v>1</v>
      </c>
      <c r="N289" s="7">
        <v>1</v>
      </c>
      <c r="P289" s="7">
        <v>1</v>
      </c>
      <c r="Q289" s="7">
        <v>1</v>
      </c>
      <c r="R289" s="7">
        <v>1</v>
      </c>
    </row>
    <row r="290" spans="1:18" x14ac:dyDescent="0.55000000000000004">
      <c r="A290" s="7">
        <v>10</v>
      </c>
      <c r="B290" s="7">
        <v>1</v>
      </c>
      <c r="C290" s="7">
        <v>1</v>
      </c>
      <c r="D290" s="7">
        <v>1155</v>
      </c>
      <c r="E290" s="7" t="s">
        <v>279</v>
      </c>
      <c r="G290" s="7">
        <v>1</v>
      </c>
      <c r="H290" s="7">
        <v>1</v>
      </c>
      <c r="I290" s="7">
        <v>1</v>
      </c>
      <c r="P290" s="7">
        <v>1</v>
      </c>
    </row>
    <row r="291" spans="1:18" x14ac:dyDescent="0.55000000000000004">
      <c r="A291" s="7">
        <v>10</v>
      </c>
      <c r="B291" s="7">
        <v>1</v>
      </c>
      <c r="C291" s="7">
        <f>C290+1</f>
        <v>2</v>
      </c>
      <c r="D291" s="7">
        <v>1155</v>
      </c>
      <c r="E291" s="7" t="s">
        <v>279</v>
      </c>
    </row>
    <row r="292" spans="1:18" x14ac:dyDescent="0.55000000000000004">
      <c r="A292" s="7">
        <v>10</v>
      </c>
      <c r="B292" s="7">
        <v>1</v>
      </c>
      <c r="C292" s="7">
        <f t="shared" ref="C292:C312" si="12">C291+1</f>
        <v>3</v>
      </c>
      <c r="D292" s="7">
        <v>1000</v>
      </c>
      <c r="E292" s="7" t="s">
        <v>280</v>
      </c>
      <c r="F292" s="7">
        <v>1</v>
      </c>
      <c r="G292" s="7">
        <v>1</v>
      </c>
      <c r="H292" s="7">
        <v>1</v>
      </c>
      <c r="I292" s="7">
        <v>1</v>
      </c>
      <c r="L292" s="7">
        <v>1</v>
      </c>
      <c r="M292" s="7">
        <v>1</v>
      </c>
      <c r="P292" s="7">
        <v>1</v>
      </c>
    </row>
    <row r="293" spans="1:18" x14ac:dyDescent="0.55000000000000004">
      <c r="A293" s="7">
        <v>10</v>
      </c>
      <c r="B293" s="7">
        <v>1</v>
      </c>
      <c r="C293" s="7">
        <f t="shared" si="12"/>
        <v>4</v>
      </c>
      <c r="D293" s="7">
        <v>750</v>
      </c>
      <c r="E293" s="7" t="s">
        <v>281</v>
      </c>
      <c r="G293" s="7">
        <v>1</v>
      </c>
      <c r="H293" s="7">
        <v>1</v>
      </c>
      <c r="I293" s="7">
        <v>1</v>
      </c>
      <c r="P293" s="7">
        <v>1</v>
      </c>
    </row>
    <row r="294" spans="1:18" x14ac:dyDescent="0.55000000000000004">
      <c r="A294" s="7">
        <v>10</v>
      </c>
      <c r="B294" s="7">
        <v>1</v>
      </c>
      <c r="C294" s="7">
        <f t="shared" si="12"/>
        <v>5</v>
      </c>
      <c r="D294" s="7">
        <v>500.5</v>
      </c>
      <c r="E294" s="7" t="s">
        <v>282</v>
      </c>
      <c r="F294" s="7">
        <v>1</v>
      </c>
      <c r="G294" s="7">
        <v>1</v>
      </c>
      <c r="H294" s="7">
        <v>1</v>
      </c>
      <c r="I294" s="7">
        <v>1</v>
      </c>
      <c r="M294" s="7">
        <v>1</v>
      </c>
      <c r="P294" s="7">
        <v>1</v>
      </c>
    </row>
    <row r="295" spans="1:18" x14ac:dyDescent="0.55000000000000004">
      <c r="A295" s="7">
        <v>10</v>
      </c>
      <c r="B295" s="7">
        <v>1</v>
      </c>
      <c r="C295" s="7">
        <f t="shared" si="12"/>
        <v>6</v>
      </c>
      <c r="D295" s="7">
        <v>300.5</v>
      </c>
      <c r="E295" s="7" t="s">
        <v>283</v>
      </c>
      <c r="G295" s="7">
        <v>1</v>
      </c>
      <c r="H295" s="7">
        <v>1</v>
      </c>
      <c r="I295" s="7">
        <v>1</v>
      </c>
      <c r="P295" s="7">
        <v>1</v>
      </c>
    </row>
    <row r="296" spans="1:18" x14ac:dyDescent="0.55000000000000004">
      <c r="A296" s="7">
        <v>10</v>
      </c>
      <c r="B296" s="7">
        <v>1</v>
      </c>
      <c r="C296" s="7">
        <f t="shared" si="12"/>
        <v>7</v>
      </c>
      <c r="D296" s="7">
        <v>249.8</v>
      </c>
      <c r="E296" s="7" t="s">
        <v>284</v>
      </c>
      <c r="G296" s="7">
        <v>1</v>
      </c>
      <c r="H296" s="7">
        <v>1</v>
      </c>
      <c r="I296" s="7">
        <v>1</v>
      </c>
      <c r="M296" s="7">
        <v>1</v>
      </c>
      <c r="P296" s="7">
        <v>1</v>
      </c>
    </row>
    <row r="297" spans="1:18" x14ac:dyDescent="0.55000000000000004">
      <c r="A297" s="7">
        <v>10</v>
      </c>
      <c r="B297" s="7">
        <v>1</v>
      </c>
      <c r="C297" s="7">
        <f t="shared" si="12"/>
        <v>8</v>
      </c>
      <c r="D297" s="7">
        <v>199.9</v>
      </c>
      <c r="E297" s="7" t="s">
        <v>285</v>
      </c>
      <c r="F297" s="7">
        <v>1</v>
      </c>
      <c r="G297" s="7">
        <v>1</v>
      </c>
      <c r="H297" s="7">
        <v>1</v>
      </c>
      <c r="I297" s="7">
        <v>1</v>
      </c>
      <c r="P297" s="7">
        <v>1</v>
      </c>
    </row>
    <row r="298" spans="1:18" x14ac:dyDescent="0.55000000000000004">
      <c r="A298" s="7">
        <v>10</v>
      </c>
      <c r="B298" s="7">
        <v>1</v>
      </c>
      <c r="C298" s="7">
        <f t="shared" si="12"/>
        <v>9</v>
      </c>
      <c r="D298" s="7">
        <v>199.9</v>
      </c>
      <c r="E298" s="7" t="s">
        <v>285</v>
      </c>
    </row>
    <row r="299" spans="1:18" x14ac:dyDescent="0.55000000000000004">
      <c r="A299" s="7">
        <v>10</v>
      </c>
      <c r="B299" s="7">
        <v>1</v>
      </c>
      <c r="C299" s="7">
        <f t="shared" si="12"/>
        <v>10</v>
      </c>
      <c r="D299" s="7">
        <v>175</v>
      </c>
      <c r="E299" s="7" t="s">
        <v>286</v>
      </c>
      <c r="G299" s="7">
        <v>1</v>
      </c>
      <c r="H299" s="7">
        <v>1</v>
      </c>
      <c r="I299" s="7">
        <v>1</v>
      </c>
      <c r="P299" s="7">
        <v>1</v>
      </c>
    </row>
    <row r="300" spans="1:18" x14ac:dyDescent="0.55000000000000004">
      <c r="A300" s="7">
        <v>10</v>
      </c>
      <c r="B300" s="7">
        <v>1</v>
      </c>
      <c r="C300" s="7">
        <f t="shared" si="12"/>
        <v>11</v>
      </c>
      <c r="D300" s="7">
        <v>150</v>
      </c>
      <c r="E300" s="7" t="s">
        <v>287</v>
      </c>
      <c r="G300" s="7">
        <v>1</v>
      </c>
      <c r="H300" s="7">
        <v>1</v>
      </c>
      <c r="I300" s="7">
        <v>1</v>
      </c>
      <c r="M300" s="7">
        <v>1</v>
      </c>
      <c r="P300" s="7">
        <v>1</v>
      </c>
    </row>
    <row r="301" spans="1:18" x14ac:dyDescent="0.55000000000000004">
      <c r="A301" s="7">
        <v>10</v>
      </c>
      <c r="B301" s="7">
        <v>1</v>
      </c>
      <c r="C301" s="7">
        <f t="shared" si="12"/>
        <v>12</v>
      </c>
      <c r="D301" s="7">
        <v>130.30000000000001</v>
      </c>
      <c r="E301" s="7" t="s">
        <v>288</v>
      </c>
      <c r="G301" s="7">
        <v>1</v>
      </c>
      <c r="H301" s="7">
        <v>1</v>
      </c>
      <c r="I301" s="7">
        <v>1</v>
      </c>
      <c r="P301" s="7">
        <v>1</v>
      </c>
    </row>
    <row r="302" spans="1:18" x14ac:dyDescent="0.55000000000000004">
      <c r="A302" s="7">
        <v>10</v>
      </c>
      <c r="B302" s="7">
        <v>1</v>
      </c>
      <c r="C302" s="7">
        <f t="shared" si="12"/>
        <v>13</v>
      </c>
      <c r="D302" s="7">
        <v>115.1</v>
      </c>
      <c r="E302" s="7" t="s">
        <v>289</v>
      </c>
      <c r="G302" s="7">
        <v>1</v>
      </c>
      <c r="H302" s="7">
        <v>1</v>
      </c>
      <c r="I302" s="7">
        <v>1</v>
      </c>
      <c r="P302" s="7">
        <v>1</v>
      </c>
    </row>
    <row r="303" spans="1:18" x14ac:dyDescent="0.55000000000000004">
      <c r="A303" s="7">
        <v>10</v>
      </c>
      <c r="B303" s="7">
        <v>1</v>
      </c>
      <c r="C303" s="7">
        <f t="shared" si="12"/>
        <v>14</v>
      </c>
      <c r="D303" s="7">
        <v>99.8</v>
      </c>
      <c r="E303" s="7" t="s">
        <v>290</v>
      </c>
      <c r="G303" s="7">
        <v>1</v>
      </c>
      <c r="H303" s="7">
        <v>1</v>
      </c>
      <c r="I303" s="7">
        <v>1</v>
      </c>
      <c r="M303" s="7">
        <v>1</v>
      </c>
      <c r="P303" s="7">
        <v>1</v>
      </c>
    </row>
    <row r="304" spans="1:18" x14ac:dyDescent="0.55000000000000004">
      <c r="A304" s="7">
        <v>10</v>
      </c>
      <c r="B304" s="7">
        <v>1</v>
      </c>
      <c r="C304" s="7">
        <f t="shared" si="12"/>
        <v>15</v>
      </c>
      <c r="D304" s="7">
        <v>85.3</v>
      </c>
      <c r="E304" s="7" t="s">
        <v>291</v>
      </c>
      <c r="G304" s="7">
        <v>1</v>
      </c>
      <c r="H304" s="7">
        <v>1</v>
      </c>
      <c r="I304" s="7">
        <v>1</v>
      </c>
      <c r="P304" s="7">
        <v>1</v>
      </c>
    </row>
    <row r="305" spans="1:17" x14ac:dyDescent="0.55000000000000004">
      <c r="A305" s="7">
        <v>10</v>
      </c>
      <c r="B305" s="7">
        <v>1</v>
      </c>
      <c r="C305" s="7">
        <f t="shared" si="12"/>
        <v>16</v>
      </c>
      <c r="D305" s="7">
        <v>69.8</v>
      </c>
      <c r="E305" s="7" t="s">
        <v>292</v>
      </c>
      <c r="G305" s="7">
        <v>1</v>
      </c>
      <c r="H305" s="7">
        <v>1</v>
      </c>
      <c r="I305" s="7">
        <v>1</v>
      </c>
      <c r="M305" s="7">
        <v>1</v>
      </c>
      <c r="P305" s="7">
        <v>1</v>
      </c>
    </row>
    <row r="306" spans="1:17" x14ac:dyDescent="0.55000000000000004">
      <c r="A306" s="7">
        <v>10</v>
      </c>
      <c r="B306" s="7">
        <v>1</v>
      </c>
      <c r="C306" s="7">
        <f t="shared" si="12"/>
        <v>17</v>
      </c>
      <c r="D306" s="7">
        <v>54.9</v>
      </c>
      <c r="E306" s="7" t="s">
        <v>293</v>
      </c>
      <c r="G306" s="7">
        <v>1</v>
      </c>
      <c r="H306" s="7">
        <v>1</v>
      </c>
      <c r="I306" s="7">
        <v>1</v>
      </c>
      <c r="J306" s="7">
        <v>1</v>
      </c>
      <c r="M306" s="7">
        <v>1</v>
      </c>
      <c r="P306" s="7">
        <v>1</v>
      </c>
    </row>
    <row r="307" spans="1:17" x14ac:dyDescent="0.55000000000000004">
      <c r="A307" s="7">
        <v>10</v>
      </c>
      <c r="B307" s="7">
        <v>1</v>
      </c>
      <c r="C307" s="7">
        <f t="shared" si="12"/>
        <v>18</v>
      </c>
      <c r="D307" s="7">
        <v>40.1</v>
      </c>
      <c r="E307" s="7" t="s">
        <v>294</v>
      </c>
      <c r="G307" s="7">
        <v>1</v>
      </c>
      <c r="H307" s="7">
        <v>1</v>
      </c>
      <c r="I307" s="7">
        <v>1</v>
      </c>
      <c r="J307" s="7">
        <v>1</v>
      </c>
      <c r="P307" s="7">
        <v>1</v>
      </c>
    </row>
    <row r="308" spans="1:17" x14ac:dyDescent="0.55000000000000004">
      <c r="A308" s="7">
        <v>10</v>
      </c>
      <c r="B308" s="7">
        <v>1</v>
      </c>
      <c r="C308" s="7">
        <f t="shared" si="12"/>
        <v>19</v>
      </c>
      <c r="D308" s="7">
        <v>40.1</v>
      </c>
      <c r="E308" s="7" t="s">
        <v>294</v>
      </c>
    </row>
    <row r="309" spans="1:17" x14ac:dyDescent="0.55000000000000004">
      <c r="A309" s="7">
        <v>10</v>
      </c>
      <c r="B309" s="7">
        <v>1</v>
      </c>
      <c r="C309" s="7">
        <f t="shared" si="12"/>
        <v>20</v>
      </c>
      <c r="D309" s="7">
        <v>29.9</v>
      </c>
      <c r="E309" s="7" t="s">
        <v>295</v>
      </c>
      <c r="F309" s="7">
        <v>1</v>
      </c>
      <c r="G309" s="7">
        <v>1</v>
      </c>
      <c r="H309" s="7">
        <v>1</v>
      </c>
      <c r="J309" s="7">
        <v>1</v>
      </c>
      <c r="M309" s="7">
        <v>1</v>
      </c>
      <c r="P309" s="7">
        <v>1</v>
      </c>
    </row>
    <row r="310" spans="1:17" x14ac:dyDescent="0.55000000000000004">
      <c r="A310" s="7">
        <v>10</v>
      </c>
      <c r="B310" s="7">
        <v>1</v>
      </c>
      <c r="C310" s="7">
        <f t="shared" si="12"/>
        <v>21</v>
      </c>
      <c r="D310" s="7">
        <v>19.899999999999999</v>
      </c>
      <c r="E310" s="7" t="s">
        <v>296</v>
      </c>
      <c r="G310" s="7">
        <v>1</v>
      </c>
      <c r="H310" s="7">
        <v>1</v>
      </c>
      <c r="I310" s="7">
        <v>1</v>
      </c>
      <c r="J310" s="7">
        <v>1</v>
      </c>
      <c r="P310" s="7">
        <v>1</v>
      </c>
    </row>
    <row r="311" spans="1:17" x14ac:dyDescent="0.55000000000000004">
      <c r="A311" s="7">
        <v>10</v>
      </c>
      <c r="B311" s="7">
        <v>1</v>
      </c>
      <c r="C311" s="7">
        <f>C310+1</f>
        <v>22</v>
      </c>
      <c r="D311" s="7">
        <v>10.1</v>
      </c>
      <c r="E311" s="7" t="s">
        <v>277</v>
      </c>
      <c r="F311" s="7">
        <v>1</v>
      </c>
      <c r="G311" s="7">
        <v>1</v>
      </c>
      <c r="H311" s="7">
        <v>1</v>
      </c>
      <c r="I311" s="7">
        <v>1</v>
      </c>
      <c r="J311" s="7">
        <v>1</v>
      </c>
      <c r="L311" s="7">
        <v>1</v>
      </c>
      <c r="M311" s="7">
        <v>1</v>
      </c>
      <c r="P311" s="7">
        <v>1</v>
      </c>
    </row>
    <row r="312" spans="1:17" x14ac:dyDescent="0.55000000000000004">
      <c r="A312" s="7">
        <v>10</v>
      </c>
      <c r="B312" s="7">
        <v>1</v>
      </c>
      <c r="C312" s="7">
        <f t="shared" si="12"/>
        <v>23</v>
      </c>
      <c r="D312" s="7">
        <v>10.1</v>
      </c>
      <c r="E312" s="7" t="s">
        <v>277</v>
      </c>
      <c r="Q312" s="7">
        <v>1</v>
      </c>
    </row>
    <row r="313" spans="1:17" x14ac:dyDescent="0.55000000000000004">
      <c r="A313" s="7">
        <v>10</v>
      </c>
      <c r="B313" s="7">
        <v>1</v>
      </c>
      <c r="C313" s="7">
        <v>24</v>
      </c>
      <c r="D313" s="7">
        <v>10.1</v>
      </c>
      <c r="E313" s="7" t="s">
        <v>278</v>
      </c>
      <c r="H313" s="7">
        <v>1</v>
      </c>
    </row>
    <row r="314" spans="1:17" x14ac:dyDescent="0.55000000000000004">
      <c r="A314" s="7">
        <v>11</v>
      </c>
      <c r="B314" s="7">
        <v>1</v>
      </c>
      <c r="C314" s="7">
        <v>1</v>
      </c>
      <c r="D314" s="7">
        <v>1305.2</v>
      </c>
      <c r="E314" s="7" t="s">
        <v>1038</v>
      </c>
      <c r="G314" s="7">
        <v>1</v>
      </c>
      <c r="I314" s="7">
        <v>1</v>
      </c>
      <c r="P314" s="7">
        <v>1</v>
      </c>
    </row>
    <row r="315" spans="1:17" x14ac:dyDescent="0.55000000000000004">
      <c r="A315" s="7">
        <v>11</v>
      </c>
      <c r="B315" s="7">
        <v>1</v>
      </c>
      <c r="C315" s="7">
        <f>C314+1</f>
        <v>2</v>
      </c>
      <c r="D315" s="7">
        <v>1200.5999999999999</v>
      </c>
      <c r="E315" s="7" t="s">
        <v>300</v>
      </c>
    </row>
    <row r="316" spans="1:17" x14ac:dyDescent="0.55000000000000004">
      <c r="A316" s="7">
        <v>11</v>
      </c>
      <c r="B316" s="7">
        <v>1</v>
      </c>
      <c r="C316" s="7">
        <f t="shared" ref="C316:C337" si="13">C315+1</f>
        <v>3</v>
      </c>
      <c r="D316" s="7">
        <v>1000.2</v>
      </c>
      <c r="E316" s="7" t="s">
        <v>305</v>
      </c>
      <c r="G316" s="7">
        <v>1</v>
      </c>
      <c r="I316" s="7">
        <v>1</v>
      </c>
      <c r="P316" s="7">
        <v>1</v>
      </c>
    </row>
    <row r="317" spans="1:17" x14ac:dyDescent="0.55000000000000004">
      <c r="A317" s="7">
        <v>11</v>
      </c>
      <c r="B317" s="7">
        <v>1</v>
      </c>
      <c r="C317" s="7">
        <f t="shared" si="13"/>
        <v>4</v>
      </c>
      <c r="D317" s="7">
        <v>750.3</v>
      </c>
      <c r="E317" s="7" t="s">
        <v>306</v>
      </c>
      <c r="G317" s="7">
        <v>1</v>
      </c>
      <c r="I317" s="7">
        <v>1</v>
      </c>
      <c r="P317" s="7">
        <v>1</v>
      </c>
    </row>
    <row r="318" spans="1:17" x14ac:dyDescent="0.55000000000000004">
      <c r="A318" s="7">
        <v>11</v>
      </c>
      <c r="B318" s="7">
        <v>1</v>
      </c>
      <c r="C318" s="7">
        <f t="shared" si="13"/>
        <v>5</v>
      </c>
      <c r="D318" s="7">
        <v>500</v>
      </c>
      <c r="E318" s="7" t="s">
        <v>307</v>
      </c>
      <c r="G318" s="7">
        <v>1</v>
      </c>
      <c r="H318" s="7">
        <v>1</v>
      </c>
      <c r="I318" s="7">
        <v>1</v>
      </c>
      <c r="P318" s="7">
        <v>1</v>
      </c>
    </row>
    <row r="319" spans="1:17" x14ac:dyDescent="0.55000000000000004">
      <c r="A319" s="7">
        <v>11</v>
      </c>
      <c r="B319" s="7">
        <v>1</v>
      </c>
      <c r="C319" s="7">
        <f t="shared" si="13"/>
        <v>6</v>
      </c>
      <c r="D319" s="7">
        <v>300.60000000000002</v>
      </c>
      <c r="E319" s="7" t="s">
        <v>308</v>
      </c>
      <c r="G319" s="7">
        <v>1</v>
      </c>
      <c r="H319" s="7">
        <v>1</v>
      </c>
      <c r="I319" s="7">
        <v>1</v>
      </c>
      <c r="M319" s="7">
        <v>1</v>
      </c>
      <c r="N319" s="7">
        <v>1</v>
      </c>
      <c r="P319" s="7">
        <v>1</v>
      </c>
    </row>
    <row r="320" spans="1:17" x14ac:dyDescent="0.55000000000000004">
      <c r="A320" s="7">
        <v>11</v>
      </c>
      <c r="B320" s="7">
        <v>1</v>
      </c>
      <c r="C320" s="7">
        <f t="shared" si="13"/>
        <v>7</v>
      </c>
      <c r="D320" s="7">
        <v>250</v>
      </c>
      <c r="E320" s="7" t="s">
        <v>309</v>
      </c>
      <c r="G320" s="7">
        <v>1</v>
      </c>
      <c r="H320" s="7">
        <v>1</v>
      </c>
      <c r="I320" s="7">
        <v>1</v>
      </c>
      <c r="P320" s="7">
        <v>1</v>
      </c>
    </row>
    <row r="321" spans="1:16" x14ac:dyDescent="0.55000000000000004">
      <c r="A321" s="7">
        <v>11</v>
      </c>
      <c r="B321" s="7">
        <v>1</v>
      </c>
      <c r="C321" s="7">
        <f t="shared" si="13"/>
        <v>8</v>
      </c>
      <c r="D321" s="7">
        <v>200.1</v>
      </c>
      <c r="E321" s="7" t="s">
        <v>310</v>
      </c>
      <c r="G321" s="7">
        <v>1</v>
      </c>
      <c r="H321" s="7">
        <v>1</v>
      </c>
      <c r="I321" s="7">
        <v>1</v>
      </c>
      <c r="P321" s="7">
        <v>1</v>
      </c>
    </row>
    <row r="322" spans="1:16" x14ac:dyDescent="0.55000000000000004">
      <c r="A322" s="7">
        <v>11</v>
      </c>
      <c r="B322" s="7">
        <v>1</v>
      </c>
      <c r="C322" s="7">
        <f t="shared" si="13"/>
        <v>9</v>
      </c>
      <c r="D322" s="7">
        <v>174.5</v>
      </c>
      <c r="E322" s="7" t="s">
        <v>311</v>
      </c>
      <c r="G322" s="7">
        <v>1</v>
      </c>
      <c r="H322" s="7">
        <v>1</v>
      </c>
      <c r="I322" s="7">
        <v>1</v>
      </c>
      <c r="P322" s="7">
        <v>1</v>
      </c>
    </row>
    <row r="323" spans="1:16" x14ac:dyDescent="0.55000000000000004">
      <c r="A323" s="7">
        <v>11</v>
      </c>
      <c r="B323" s="7">
        <v>1</v>
      </c>
      <c r="C323" s="7">
        <f t="shared" si="13"/>
        <v>10</v>
      </c>
      <c r="D323" s="7">
        <v>150.19999999999999</v>
      </c>
      <c r="E323" s="7" t="s">
        <v>312</v>
      </c>
      <c r="G323" s="7">
        <v>1</v>
      </c>
      <c r="H323" s="7">
        <v>1</v>
      </c>
      <c r="I323" s="7">
        <v>1</v>
      </c>
      <c r="M323" s="7">
        <v>1</v>
      </c>
      <c r="N323" s="7">
        <v>1</v>
      </c>
      <c r="P323" s="7">
        <v>1</v>
      </c>
    </row>
    <row r="324" spans="1:16" x14ac:dyDescent="0.55000000000000004">
      <c r="A324" s="7">
        <v>11</v>
      </c>
      <c r="B324" s="7">
        <v>1</v>
      </c>
      <c r="C324" s="7">
        <f t="shared" si="13"/>
        <v>11</v>
      </c>
      <c r="D324" s="7">
        <v>130.1</v>
      </c>
      <c r="E324" s="7" t="s">
        <v>313</v>
      </c>
      <c r="G324" s="7">
        <v>1</v>
      </c>
      <c r="H324" s="7">
        <v>1</v>
      </c>
      <c r="I324" s="7">
        <v>1</v>
      </c>
      <c r="P324" s="7">
        <v>1</v>
      </c>
    </row>
    <row r="325" spans="1:16" x14ac:dyDescent="0.55000000000000004">
      <c r="A325" s="7">
        <v>11</v>
      </c>
      <c r="B325" s="7">
        <v>1</v>
      </c>
      <c r="C325" s="7">
        <f t="shared" si="13"/>
        <v>12</v>
      </c>
      <c r="D325" s="7">
        <v>115</v>
      </c>
      <c r="E325" s="7" t="s">
        <v>314</v>
      </c>
      <c r="G325" s="7">
        <v>1</v>
      </c>
      <c r="H325" s="7">
        <v>1</v>
      </c>
      <c r="I325" s="7">
        <v>1</v>
      </c>
      <c r="P325" s="7">
        <v>1</v>
      </c>
    </row>
    <row r="326" spans="1:16" x14ac:dyDescent="0.55000000000000004">
      <c r="A326" s="7">
        <v>11</v>
      </c>
      <c r="B326" s="7">
        <v>1</v>
      </c>
      <c r="C326" s="7">
        <f t="shared" si="13"/>
        <v>13</v>
      </c>
      <c r="D326" s="7">
        <v>100.5</v>
      </c>
      <c r="E326" s="7" t="s">
        <v>315</v>
      </c>
      <c r="G326" s="7">
        <v>1</v>
      </c>
      <c r="H326" s="7">
        <v>1</v>
      </c>
      <c r="I326" s="7">
        <v>1</v>
      </c>
      <c r="M326" s="7">
        <v>1</v>
      </c>
      <c r="N326" s="7">
        <v>1</v>
      </c>
      <c r="P326" s="7">
        <v>1</v>
      </c>
    </row>
    <row r="327" spans="1:16" x14ac:dyDescent="0.55000000000000004">
      <c r="A327" s="7">
        <v>11</v>
      </c>
      <c r="B327" s="7">
        <v>1</v>
      </c>
      <c r="C327" s="7">
        <f t="shared" si="13"/>
        <v>14</v>
      </c>
      <c r="D327" s="7">
        <v>85.5</v>
      </c>
      <c r="E327" s="7" t="s">
        <v>316</v>
      </c>
      <c r="G327" s="7">
        <v>1</v>
      </c>
      <c r="H327" s="7">
        <v>1</v>
      </c>
      <c r="I327" s="7">
        <v>1</v>
      </c>
      <c r="P327" s="7">
        <v>1</v>
      </c>
    </row>
    <row r="328" spans="1:16" x14ac:dyDescent="0.55000000000000004">
      <c r="A328" s="7">
        <v>11</v>
      </c>
      <c r="B328" s="7">
        <v>1</v>
      </c>
      <c r="C328" s="7">
        <f t="shared" si="13"/>
        <v>15</v>
      </c>
      <c r="D328" s="7">
        <v>70.3</v>
      </c>
      <c r="E328" s="7" t="s">
        <v>317</v>
      </c>
      <c r="G328" s="7">
        <v>1</v>
      </c>
      <c r="H328" s="7">
        <v>1</v>
      </c>
      <c r="I328" s="7">
        <v>1</v>
      </c>
      <c r="M328" s="7">
        <v>1</v>
      </c>
      <c r="N328" s="7">
        <v>1</v>
      </c>
      <c r="P328" s="7">
        <v>1</v>
      </c>
    </row>
    <row r="329" spans="1:16" x14ac:dyDescent="0.55000000000000004">
      <c r="A329" s="7">
        <v>11</v>
      </c>
      <c r="B329" s="7">
        <v>1</v>
      </c>
      <c r="C329" s="7">
        <f t="shared" si="13"/>
        <v>16</v>
      </c>
      <c r="D329" s="7">
        <v>55.6</v>
      </c>
      <c r="E329" s="7" t="s">
        <v>318</v>
      </c>
      <c r="G329" s="7">
        <v>1</v>
      </c>
      <c r="H329" s="7">
        <v>1</v>
      </c>
      <c r="I329" s="7">
        <v>1</v>
      </c>
      <c r="J329" s="7">
        <v>1</v>
      </c>
      <c r="P329" s="7">
        <v>1</v>
      </c>
    </row>
    <row r="330" spans="1:16" x14ac:dyDescent="0.55000000000000004">
      <c r="A330" s="7">
        <v>11</v>
      </c>
      <c r="B330" s="7">
        <v>1</v>
      </c>
      <c r="C330" s="7">
        <f t="shared" si="13"/>
        <v>17</v>
      </c>
      <c r="D330" s="7">
        <v>55.6</v>
      </c>
      <c r="E330" s="7" t="s">
        <v>318</v>
      </c>
    </row>
    <row r="331" spans="1:16" x14ac:dyDescent="0.55000000000000004">
      <c r="A331" s="7">
        <v>11</v>
      </c>
      <c r="B331" s="7">
        <v>1</v>
      </c>
      <c r="C331" s="7">
        <f t="shared" si="13"/>
        <v>18</v>
      </c>
      <c r="D331" s="7">
        <v>40.5</v>
      </c>
      <c r="E331" s="7" t="s">
        <v>319</v>
      </c>
      <c r="G331" s="7">
        <v>1</v>
      </c>
      <c r="H331" s="7">
        <v>1</v>
      </c>
      <c r="I331" s="7">
        <v>1</v>
      </c>
      <c r="J331" s="7">
        <v>1</v>
      </c>
      <c r="M331" s="7">
        <v>1</v>
      </c>
      <c r="N331" s="7">
        <v>1</v>
      </c>
      <c r="P331" s="7">
        <v>1</v>
      </c>
    </row>
    <row r="332" spans="1:16" x14ac:dyDescent="0.55000000000000004">
      <c r="A332" s="7">
        <v>11</v>
      </c>
      <c r="B332" s="7">
        <v>1</v>
      </c>
      <c r="C332" s="7">
        <f t="shared" si="13"/>
        <v>19</v>
      </c>
      <c r="D332" s="7">
        <v>40.5</v>
      </c>
      <c r="E332" s="7" t="s">
        <v>319</v>
      </c>
    </row>
    <row r="333" spans="1:16" x14ac:dyDescent="0.55000000000000004">
      <c r="A333" s="7">
        <v>11</v>
      </c>
      <c r="B333" s="7">
        <v>1</v>
      </c>
      <c r="C333" s="7">
        <f t="shared" si="13"/>
        <v>20</v>
      </c>
      <c r="D333" s="7">
        <v>30.2</v>
      </c>
      <c r="E333" s="7" t="s">
        <v>320</v>
      </c>
      <c r="G333" s="7">
        <v>1</v>
      </c>
      <c r="H333" s="7">
        <v>1</v>
      </c>
      <c r="I333" s="7">
        <v>1</v>
      </c>
      <c r="J333" s="7">
        <v>1</v>
      </c>
      <c r="P333" s="7">
        <v>1</v>
      </c>
    </row>
    <row r="334" spans="1:16" x14ac:dyDescent="0.55000000000000004">
      <c r="A334" s="7">
        <v>11</v>
      </c>
      <c r="B334" s="7">
        <v>1</v>
      </c>
      <c r="C334" s="7">
        <f t="shared" si="13"/>
        <v>21</v>
      </c>
      <c r="D334" s="7">
        <v>20.100000000000001</v>
      </c>
      <c r="E334" s="7" t="s">
        <v>321</v>
      </c>
      <c r="G334" s="7">
        <v>1</v>
      </c>
      <c r="H334" s="7">
        <v>1</v>
      </c>
      <c r="I334" s="7">
        <v>1</v>
      </c>
      <c r="J334" s="7">
        <v>1</v>
      </c>
      <c r="M334" s="7">
        <v>1</v>
      </c>
      <c r="N334" s="7">
        <v>1</v>
      </c>
      <c r="P334" s="7">
        <v>1</v>
      </c>
    </row>
    <row r="335" spans="1:16" x14ac:dyDescent="0.55000000000000004">
      <c r="A335" s="7">
        <v>11</v>
      </c>
      <c r="B335" s="7">
        <v>1</v>
      </c>
      <c r="C335" s="7">
        <f>C334+1</f>
        <v>22</v>
      </c>
      <c r="D335" s="7">
        <v>10.199999999999999</v>
      </c>
      <c r="E335" s="7" t="s">
        <v>322</v>
      </c>
      <c r="G335" s="7">
        <v>1</v>
      </c>
      <c r="H335" s="7">
        <v>1</v>
      </c>
      <c r="I335" s="7">
        <v>1</v>
      </c>
      <c r="J335" s="7">
        <v>1</v>
      </c>
      <c r="P335" s="7">
        <v>1</v>
      </c>
    </row>
    <row r="336" spans="1:16" x14ac:dyDescent="0.55000000000000004">
      <c r="A336" s="7">
        <v>11</v>
      </c>
      <c r="B336" s="7">
        <v>1</v>
      </c>
      <c r="C336" s="7">
        <f t="shared" si="13"/>
        <v>23</v>
      </c>
      <c r="D336" s="7">
        <v>2.7</v>
      </c>
      <c r="E336" s="7" t="s">
        <v>323</v>
      </c>
    </row>
    <row r="337" spans="1:18" x14ac:dyDescent="0.55000000000000004">
      <c r="A337" s="7">
        <v>11</v>
      </c>
      <c r="B337" s="7">
        <v>1</v>
      </c>
      <c r="C337" s="7">
        <f t="shared" si="13"/>
        <v>24</v>
      </c>
      <c r="D337" s="7">
        <v>2.7</v>
      </c>
      <c r="E337" s="7" t="s">
        <v>323</v>
      </c>
      <c r="G337" s="7">
        <v>1</v>
      </c>
      <c r="H337" s="7">
        <v>1</v>
      </c>
      <c r="I337" s="7">
        <v>1</v>
      </c>
      <c r="J337" s="7">
        <v>1</v>
      </c>
      <c r="M337" s="7">
        <v>1</v>
      </c>
      <c r="N337" s="7">
        <v>1</v>
      </c>
      <c r="P337" s="7">
        <v>1</v>
      </c>
      <c r="Q337" s="7">
        <v>1</v>
      </c>
      <c r="R337" s="7">
        <v>1</v>
      </c>
    </row>
    <row r="338" spans="1:18" x14ac:dyDescent="0.55000000000000004">
      <c r="A338" s="7">
        <v>12</v>
      </c>
      <c r="B338" s="7">
        <v>1</v>
      </c>
      <c r="C338" s="7">
        <v>1</v>
      </c>
      <c r="D338" s="7">
        <v>249.4</v>
      </c>
      <c r="E338" s="7" t="s">
        <v>327</v>
      </c>
      <c r="G338" s="7">
        <v>1</v>
      </c>
      <c r="H338" s="7">
        <v>1</v>
      </c>
      <c r="I338" s="7">
        <v>1</v>
      </c>
      <c r="P338" s="7">
        <v>1</v>
      </c>
    </row>
    <row r="339" spans="1:18" x14ac:dyDescent="0.55000000000000004">
      <c r="A339" s="7">
        <v>12</v>
      </c>
      <c r="B339" s="7">
        <v>1</v>
      </c>
      <c r="C339" s="7">
        <f>C338+1</f>
        <v>2</v>
      </c>
      <c r="D339" s="7">
        <v>249.4</v>
      </c>
      <c r="E339" s="7" t="s">
        <v>327</v>
      </c>
      <c r="K339" s="7">
        <v>1</v>
      </c>
    </row>
    <row r="340" spans="1:18" x14ac:dyDescent="0.55000000000000004">
      <c r="A340" s="7">
        <v>12</v>
      </c>
      <c r="B340" s="7">
        <v>1</v>
      </c>
      <c r="C340" s="7">
        <f t="shared" ref="C340:C361" si="14">C339+1</f>
        <v>3</v>
      </c>
      <c r="D340" s="7">
        <v>249.4</v>
      </c>
      <c r="E340" s="7" t="s">
        <v>327</v>
      </c>
      <c r="K340" s="7">
        <v>1</v>
      </c>
    </row>
    <row r="341" spans="1:18" x14ac:dyDescent="0.55000000000000004">
      <c r="A341" s="7">
        <v>12</v>
      </c>
      <c r="B341" s="7">
        <v>1</v>
      </c>
      <c r="C341" s="7">
        <f t="shared" si="14"/>
        <v>4</v>
      </c>
      <c r="D341" s="7">
        <v>249.4</v>
      </c>
      <c r="E341" s="7" t="s">
        <v>327</v>
      </c>
      <c r="K341" s="7">
        <v>1</v>
      </c>
    </row>
    <row r="342" spans="1:18" x14ac:dyDescent="0.55000000000000004">
      <c r="A342" s="7">
        <v>12</v>
      </c>
      <c r="B342" s="7">
        <v>1</v>
      </c>
      <c r="C342" s="7">
        <f t="shared" si="14"/>
        <v>5</v>
      </c>
      <c r="D342" s="7">
        <v>249.4</v>
      </c>
      <c r="E342" s="7" t="s">
        <v>327</v>
      </c>
      <c r="K342" s="7">
        <v>1</v>
      </c>
    </row>
    <row r="343" spans="1:18" x14ac:dyDescent="0.55000000000000004">
      <c r="A343" s="7">
        <v>12</v>
      </c>
      <c r="B343" s="7">
        <v>1</v>
      </c>
      <c r="C343" s="7">
        <f t="shared" si="14"/>
        <v>6</v>
      </c>
      <c r="D343" s="7">
        <v>200.9</v>
      </c>
      <c r="E343" s="7" t="s">
        <v>328</v>
      </c>
      <c r="G343" s="7">
        <v>1</v>
      </c>
      <c r="H343" s="7">
        <v>1</v>
      </c>
      <c r="I343" s="7">
        <v>1</v>
      </c>
      <c r="P343" s="7">
        <v>1</v>
      </c>
    </row>
    <row r="344" spans="1:18" x14ac:dyDescent="0.55000000000000004">
      <c r="A344" s="7">
        <v>12</v>
      </c>
      <c r="B344" s="7">
        <v>1</v>
      </c>
      <c r="C344" s="7">
        <f t="shared" si="14"/>
        <v>7</v>
      </c>
      <c r="D344" s="7">
        <v>151.30000000000001</v>
      </c>
      <c r="E344" s="7" t="s">
        <v>329</v>
      </c>
      <c r="G344" s="7">
        <v>1</v>
      </c>
      <c r="H344" s="7">
        <v>1</v>
      </c>
      <c r="I344" s="7">
        <v>1</v>
      </c>
      <c r="P344" s="7">
        <v>1</v>
      </c>
    </row>
    <row r="345" spans="1:18" x14ac:dyDescent="0.55000000000000004">
      <c r="A345" s="7">
        <v>12</v>
      </c>
      <c r="B345" s="7">
        <v>1</v>
      </c>
      <c r="C345" s="7">
        <f t="shared" si="14"/>
        <v>8</v>
      </c>
      <c r="D345" s="7">
        <v>131.69999999999999</v>
      </c>
      <c r="E345" s="7" t="s">
        <v>330</v>
      </c>
      <c r="G345" s="7">
        <v>1</v>
      </c>
      <c r="H345" s="7">
        <v>1</v>
      </c>
      <c r="I345" s="7">
        <v>1</v>
      </c>
      <c r="P345" s="7">
        <v>1</v>
      </c>
    </row>
    <row r="346" spans="1:18" x14ac:dyDescent="0.55000000000000004">
      <c r="A346" s="7">
        <v>12</v>
      </c>
      <c r="B346" s="7">
        <v>1</v>
      </c>
      <c r="C346" s="7">
        <f t="shared" si="14"/>
        <v>9</v>
      </c>
      <c r="D346" s="7">
        <v>115.3</v>
      </c>
      <c r="E346" s="7" t="s">
        <v>331</v>
      </c>
      <c r="G346" s="7">
        <v>1</v>
      </c>
      <c r="H346" s="7">
        <v>1</v>
      </c>
      <c r="I346" s="7">
        <v>1</v>
      </c>
      <c r="P346" s="7">
        <v>1</v>
      </c>
    </row>
    <row r="347" spans="1:18" x14ac:dyDescent="0.55000000000000004">
      <c r="A347" s="7">
        <v>12</v>
      </c>
      <c r="B347" s="7">
        <v>1</v>
      </c>
      <c r="C347" s="7">
        <f t="shared" si="14"/>
        <v>10</v>
      </c>
      <c r="D347" s="7">
        <v>100.1</v>
      </c>
      <c r="E347" s="7" t="s">
        <v>332</v>
      </c>
      <c r="G347" s="7">
        <v>1</v>
      </c>
      <c r="H347" s="7">
        <v>1</v>
      </c>
      <c r="I347" s="7">
        <v>1</v>
      </c>
      <c r="P347" s="7">
        <v>1</v>
      </c>
    </row>
    <row r="348" spans="1:18" x14ac:dyDescent="0.55000000000000004">
      <c r="A348" s="7">
        <v>12</v>
      </c>
      <c r="B348" s="7">
        <v>1</v>
      </c>
      <c r="C348" s="7">
        <f t="shared" si="14"/>
        <v>11</v>
      </c>
      <c r="D348" s="7">
        <v>85.5</v>
      </c>
      <c r="E348" s="7" t="s">
        <v>333</v>
      </c>
      <c r="G348" s="7">
        <v>1</v>
      </c>
      <c r="H348" s="7">
        <v>1</v>
      </c>
      <c r="I348" s="7">
        <v>1</v>
      </c>
      <c r="P348" s="7">
        <v>1</v>
      </c>
    </row>
    <row r="349" spans="1:18" x14ac:dyDescent="0.55000000000000004">
      <c r="A349" s="7">
        <v>12</v>
      </c>
      <c r="B349" s="7">
        <v>1</v>
      </c>
      <c r="C349" s="7">
        <f t="shared" si="14"/>
        <v>12</v>
      </c>
      <c r="D349" s="7">
        <v>70.599999999999994</v>
      </c>
      <c r="E349" s="7" t="s">
        <v>334</v>
      </c>
      <c r="G349" s="7">
        <v>1</v>
      </c>
      <c r="H349" s="7">
        <v>1</v>
      </c>
      <c r="I349" s="7">
        <v>1</v>
      </c>
      <c r="P349" s="7">
        <v>1</v>
      </c>
    </row>
    <row r="350" spans="1:18" x14ac:dyDescent="0.55000000000000004">
      <c r="A350" s="7">
        <v>12</v>
      </c>
      <c r="B350" s="7">
        <v>1</v>
      </c>
      <c r="C350" s="7">
        <f t="shared" si="14"/>
        <v>13</v>
      </c>
      <c r="D350" s="7">
        <v>55.6</v>
      </c>
      <c r="E350" s="7" t="s">
        <v>335</v>
      </c>
      <c r="G350" s="7">
        <v>1</v>
      </c>
      <c r="H350" s="7">
        <v>1</v>
      </c>
      <c r="I350" s="7">
        <v>1</v>
      </c>
      <c r="P350" s="7">
        <v>1</v>
      </c>
    </row>
    <row r="351" spans="1:18" x14ac:dyDescent="0.55000000000000004">
      <c r="A351" s="7">
        <v>12</v>
      </c>
      <c r="B351" s="7">
        <v>1</v>
      </c>
      <c r="C351" s="7">
        <f t="shared" si="14"/>
        <v>14</v>
      </c>
      <c r="D351" s="7">
        <v>40.299999999999997</v>
      </c>
      <c r="E351" s="7" t="s">
        <v>336</v>
      </c>
      <c r="G351" s="7">
        <v>1</v>
      </c>
      <c r="H351" s="7">
        <v>1</v>
      </c>
      <c r="I351" s="7">
        <v>1</v>
      </c>
      <c r="J351" s="7">
        <v>1</v>
      </c>
      <c r="P351" s="7">
        <v>1</v>
      </c>
    </row>
    <row r="352" spans="1:18" x14ac:dyDescent="0.55000000000000004">
      <c r="A352" s="7">
        <v>12</v>
      </c>
      <c r="B352" s="7">
        <v>1</v>
      </c>
      <c r="C352" s="7">
        <f t="shared" si="14"/>
        <v>15</v>
      </c>
      <c r="D352" s="7">
        <v>40.299999999999997</v>
      </c>
      <c r="E352" s="7" t="s">
        <v>336</v>
      </c>
      <c r="G352" s="7">
        <v>1</v>
      </c>
      <c r="H352" s="7">
        <v>1</v>
      </c>
      <c r="I352" s="7">
        <v>1</v>
      </c>
      <c r="J352" s="7">
        <v>1</v>
      </c>
      <c r="P352" s="7">
        <v>1</v>
      </c>
    </row>
    <row r="353" spans="1:20" x14ac:dyDescent="0.55000000000000004">
      <c r="A353" s="7">
        <v>12</v>
      </c>
      <c r="B353" s="7">
        <v>1</v>
      </c>
      <c r="C353" s="7">
        <f t="shared" si="14"/>
        <v>16</v>
      </c>
      <c r="D353" s="7">
        <v>40.299999999999997</v>
      </c>
      <c r="E353" s="7" t="s">
        <v>336</v>
      </c>
      <c r="K353" s="7">
        <v>1</v>
      </c>
    </row>
    <row r="354" spans="1:20" x14ac:dyDescent="0.55000000000000004">
      <c r="A354" s="7">
        <v>12</v>
      </c>
      <c r="B354" s="7">
        <v>1</v>
      </c>
      <c r="C354" s="7">
        <f t="shared" si="14"/>
        <v>17</v>
      </c>
      <c r="D354" s="7">
        <v>40.299999999999997</v>
      </c>
      <c r="E354" s="7" t="s">
        <v>336</v>
      </c>
      <c r="K354" s="7">
        <v>1</v>
      </c>
    </row>
    <row r="355" spans="1:20" x14ac:dyDescent="0.55000000000000004">
      <c r="A355" s="7">
        <v>12</v>
      </c>
      <c r="B355" s="7">
        <v>1</v>
      </c>
      <c r="C355" s="7">
        <f t="shared" si="14"/>
        <v>18</v>
      </c>
      <c r="D355" s="7">
        <v>40.299999999999997</v>
      </c>
      <c r="E355" s="7" t="s">
        <v>336</v>
      </c>
      <c r="K355" s="7">
        <v>1</v>
      </c>
    </row>
    <row r="356" spans="1:20" x14ac:dyDescent="0.55000000000000004">
      <c r="A356" s="7">
        <v>12</v>
      </c>
      <c r="B356" s="7">
        <v>1</v>
      </c>
      <c r="C356" s="7">
        <f t="shared" si="14"/>
        <v>19</v>
      </c>
      <c r="D356" s="7">
        <v>40.299999999999997</v>
      </c>
      <c r="E356" s="7" t="s">
        <v>336</v>
      </c>
      <c r="K356" s="7">
        <v>1</v>
      </c>
    </row>
    <row r="357" spans="1:20" x14ac:dyDescent="0.55000000000000004">
      <c r="A357" s="7">
        <v>12</v>
      </c>
      <c r="B357" s="7">
        <v>1</v>
      </c>
      <c r="C357" s="7">
        <f t="shared" si="14"/>
        <v>20</v>
      </c>
      <c r="D357" s="7">
        <v>40.299999999999997</v>
      </c>
      <c r="E357" s="7" t="s">
        <v>336</v>
      </c>
      <c r="K357" s="7">
        <v>1</v>
      </c>
    </row>
    <row r="358" spans="1:20" x14ac:dyDescent="0.55000000000000004">
      <c r="A358" s="7">
        <v>12</v>
      </c>
      <c r="B358" s="7">
        <v>1</v>
      </c>
      <c r="C358" s="7">
        <f t="shared" si="14"/>
        <v>21</v>
      </c>
      <c r="D358" s="7">
        <v>30.3</v>
      </c>
      <c r="E358" s="7" t="s">
        <v>337</v>
      </c>
      <c r="G358" s="7">
        <v>1</v>
      </c>
      <c r="H358" s="7">
        <v>1</v>
      </c>
      <c r="I358" s="7">
        <v>1</v>
      </c>
      <c r="J358" s="7">
        <v>1</v>
      </c>
      <c r="P358" s="7">
        <v>1</v>
      </c>
    </row>
    <row r="359" spans="1:20" x14ac:dyDescent="0.55000000000000004">
      <c r="A359" s="7">
        <v>12</v>
      </c>
      <c r="B359" s="7">
        <v>1</v>
      </c>
      <c r="C359" s="7">
        <f t="shared" si="14"/>
        <v>22</v>
      </c>
      <c r="D359" s="7">
        <v>20.5</v>
      </c>
      <c r="E359" s="7" t="s">
        <v>338</v>
      </c>
      <c r="G359" s="7">
        <v>1</v>
      </c>
      <c r="H359" s="7">
        <v>1</v>
      </c>
      <c r="I359" s="7">
        <v>1</v>
      </c>
      <c r="J359" s="7">
        <v>1</v>
      </c>
      <c r="P359" s="7">
        <v>1</v>
      </c>
    </row>
    <row r="360" spans="1:20" x14ac:dyDescent="0.55000000000000004">
      <c r="A360" s="7">
        <v>12</v>
      </c>
      <c r="B360" s="7">
        <v>1</v>
      </c>
      <c r="C360" s="7">
        <f>C359+1</f>
        <v>23</v>
      </c>
      <c r="D360" s="7">
        <v>10</v>
      </c>
      <c r="E360" s="7" t="s">
        <v>339</v>
      </c>
      <c r="G360" s="7">
        <v>1</v>
      </c>
      <c r="H360" s="7">
        <v>1</v>
      </c>
      <c r="I360" s="7">
        <v>1</v>
      </c>
      <c r="J360" s="7">
        <v>1</v>
      </c>
      <c r="P360" s="7">
        <v>1</v>
      </c>
    </row>
    <row r="361" spans="1:20" x14ac:dyDescent="0.55000000000000004">
      <c r="A361" s="7">
        <v>12</v>
      </c>
      <c r="B361" s="7">
        <v>1</v>
      </c>
      <c r="C361" s="7">
        <f t="shared" si="14"/>
        <v>24</v>
      </c>
      <c r="D361" s="7">
        <v>4.2</v>
      </c>
      <c r="E361" s="7" t="s">
        <v>340</v>
      </c>
      <c r="G361" s="7">
        <v>1</v>
      </c>
      <c r="H361" s="7">
        <v>1</v>
      </c>
      <c r="I361" s="7">
        <v>1</v>
      </c>
      <c r="J361" s="7">
        <v>1</v>
      </c>
      <c r="P361" s="7">
        <v>1</v>
      </c>
      <c r="Q361" s="7">
        <v>1</v>
      </c>
    </row>
    <row r="362" spans="1:20" x14ac:dyDescent="0.55000000000000004">
      <c r="A362" s="7">
        <v>13</v>
      </c>
      <c r="B362" s="7">
        <v>1</v>
      </c>
      <c r="C362" s="7">
        <v>1</v>
      </c>
      <c r="D362" s="7">
        <v>1200.4000000000001</v>
      </c>
      <c r="E362" s="7" t="s">
        <v>341</v>
      </c>
      <c r="G362" s="7">
        <v>1</v>
      </c>
      <c r="I362" s="7">
        <v>1</v>
      </c>
      <c r="P362" s="7">
        <v>1</v>
      </c>
    </row>
    <row r="363" spans="1:20" x14ac:dyDescent="0.55000000000000004">
      <c r="A363" s="7">
        <v>13</v>
      </c>
      <c r="B363" s="7">
        <v>1</v>
      </c>
      <c r="C363" s="7">
        <f>C362+1</f>
        <v>2</v>
      </c>
      <c r="D363" s="7">
        <v>1200.4000000000001</v>
      </c>
      <c r="E363" s="7" t="s">
        <v>341</v>
      </c>
    </row>
    <row r="364" spans="1:20" x14ac:dyDescent="0.55000000000000004">
      <c r="A364" s="7">
        <v>13</v>
      </c>
      <c r="B364" s="7">
        <v>1</v>
      </c>
      <c r="C364" s="7">
        <f t="shared" ref="C364:C384" si="15">C363+1</f>
        <v>3</v>
      </c>
      <c r="D364" s="7">
        <v>1000.2</v>
      </c>
      <c r="E364" s="7" t="s">
        <v>342</v>
      </c>
      <c r="F364" s="7">
        <v>1</v>
      </c>
      <c r="G364" s="7">
        <v>1</v>
      </c>
      <c r="I364" s="7">
        <v>1</v>
      </c>
      <c r="P364" s="7">
        <v>1</v>
      </c>
    </row>
    <row r="365" spans="1:20" x14ac:dyDescent="0.55000000000000004">
      <c r="A365" s="7">
        <v>13</v>
      </c>
      <c r="B365" s="7">
        <v>1</v>
      </c>
      <c r="C365" s="7">
        <f t="shared" si="15"/>
        <v>4</v>
      </c>
      <c r="D365" s="7">
        <v>750.3</v>
      </c>
      <c r="E365" s="7" t="s">
        <v>343</v>
      </c>
      <c r="G365" s="7">
        <v>1</v>
      </c>
      <c r="I365" s="7">
        <v>1</v>
      </c>
      <c r="P365" s="7">
        <v>1</v>
      </c>
      <c r="T365" s="7" t="s">
        <v>361</v>
      </c>
    </row>
    <row r="366" spans="1:20" x14ac:dyDescent="0.55000000000000004">
      <c r="A366" s="7">
        <v>13</v>
      </c>
      <c r="B366" s="7">
        <v>1</v>
      </c>
      <c r="C366" s="7">
        <f t="shared" si="15"/>
        <v>5</v>
      </c>
      <c r="D366" s="7">
        <v>501</v>
      </c>
      <c r="E366" s="7" t="s">
        <v>344</v>
      </c>
      <c r="F366" s="7">
        <v>1</v>
      </c>
      <c r="G366" s="7">
        <v>1</v>
      </c>
      <c r="H366" s="7">
        <v>1</v>
      </c>
      <c r="I366" s="7">
        <v>1</v>
      </c>
      <c r="P366" s="7">
        <v>1</v>
      </c>
    </row>
    <row r="367" spans="1:20" x14ac:dyDescent="0.55000000000000004">
      <c r="A367" s="7">
        <v>13</v>
      </c>
      <c r="B367" s="7">
        <v>1</v>
      </c>
      <c r="C367" s="7">
        <f t="shared" si="15"/>
        <v>6</v>
      </c>
      <c r="D367" s="7">
        <v>300.89999999999998</v>
      </c>
      <c r="E367" s="7" t="s">
        <v>345</v>
      </c>
      <c r="G367" s="7">
        <v>1</v>
      </c>
      <c r="H367" s="7">
        <v>1</v>
      </c>
      <c r="I367" s="7">
        <v>1</v>
      </c>
      <c r="M367" s="7">
        <v>1</v>
      </c>
      <c r="N367" s="7">
        <v>1</v>
      </c>
      <c r="P367" s="7">
        <v>1</v>
      </c>
    </row>
    <row r="368" spans="1:20" x14ac:dyDescent="0.55000000000000004">
      <c r="A368" s="7">
        <v>13</v>
      </c>
      <c r="B368" s="7">
        <v>1</v>
      </c>
      <c r="C368" s="7">
        <f t="shared" si="15"/>
        <v>7</v>
      </c>
      <c r="D368" s="7">
        <v>250.9</v>
      </c>
      <c r="E368" s="7" t="s">
        <v>346</v>
      </c>
      <c r="G368" s="7">
        <v>1</v>
      </c>
      <c r="H368" s="7">
        <v>1</v>
      </c>
      <c r="I368" s="7">
        <v>1</v>
      </c>
      <c r="P368" s="7">
        <v>1</v>
      </c>
    </row>
    <row r="369" spans="1:16" x14ac:dyDescent="0.55000000000000004">
      <c r="A369" s="7">
        <v>13</v>
      </c>
      <c r="B369" s="7">
        <v>1</v>
      </c>
      <c r="C369" s="7">
        <f t="shared" si="15"/>
        <v>8</v>
      </c>
      <c r="D369" s="7">
        <v>200.3</v>
      </c>
      <c r="E369" s="7" t="s">
        <v>347</v>
      </c>
      <c r="F369" s="7">
        <v>1</v>
      </c>
      <c r="G369" s="7">
        <v>1</v>
      </c>
      <c r="H369" s="7">
        <v>1</v>
      </c>
      <c r="I369" s="7">
        <v>1</v>
      </c>
      <c r="P369" s="7">
        <v>1</v>
      </c>
    </row>
    <row r="370" spans="1:16" x14ac:dyDescent="0.55000000000000004">
      <c r="A370" s="7">
        <v>13</v>
      </c>
      <c r="B370" s="7">
        <v>1</v>
      </c>
      <c r="C370" s="7">
        <f t="shared" si="15"/>
        <v>9</v>
      </c>
      <c r="D370" s="7">
        <v>175</v>
      </c>
      <c r="E370" s="7" t="s">
        <v>348</v>
      </c>
      <c r="G370" s="7">
        <v>1</v>
      </c>
      <c r="H370" s="7">
        <v>1</v>
      </c>
      <c r="I370" s="7">
        <v>1</v>
      </c>
      <c r="P370" s="7">
        <v>1</v>
      </c>
    </row>
    <row r="371" spans="1:16" x14ac:dyDescent="0.55000000000000004">
      <c r="A371" s="7">
        <v>13</v>
      </c>
      <c r="B371" s="7">
        <v>1</v>
      </c>
      <c r="C371" s="7">
        <f t="shared" si="15"/>
        <v>10</v>
      </c>
      <c r="D371" s="7">
        <v>149.9</v>
      </c>
      <c r="E371" s="7" t="s">
        <v>349</v>
      </c>
      <c r="G371" s="7">
        <v>1</v>
      </c>
      <c r="H371" s="7">
        <v>1</v>
      </c>
      <c r="I371" s="7">
        <v>1</v>
      </c>
      <c r="M371" s="7">
        <v>1</v>
      </c>
      <c r="N371" s="7">
        <v>1</v>
      </c>
      <c r="P371" s="7">
        <v>1</v>
      </c>
    </row>
    <row r="372" spans="1:16" x14ac:dyDescent="0.55000000000000004">
      <c r="A372" s="7">
        <v>13</v>
      </c>
      <c r="B372" s="7">
        <v>1</v>
      </c>
      <c r="C372" s="7">
        <f t="shared" si="15"/>
        <v>11</v>
      </c>
      <c r="D372" s="7">
        <v>129.69999999999999</v>
      </c>
      <c r="E372" s="7" t="s">
        <v>350</v>
      </c>
      <c r="G372" s="7">
        <v>1</v>
      </c>
      <c r="H372" s="7">
        <v>1</v>
      </c>
      <c r="I372" s="7">
        <v>1</v>
      </c>
      <c r="P372" s="7">
        <v>1</v>
      </c>
    </row>
    <row r="373" spans="1:16" x14ac:dyDescent="0.55000000000000004">
      <c r="A373" s="7">
        <v>13</v>
      </c>
      <c r="B373" s="7">
        <v>1</v>
      </c>
      <c r="C373" s="7">
        <f t="shared" si="15"/>
        <v>12</v>
      </c>
      <c r="D373" s="7">
        <v>115.3</v>
      </c>
      <c r="E373" s="7" t="s">
        <v>351</v>
      </c>
      <c r="G373" s="7">
        <v>1</v>
      </c>
      <c r="H373" s="7">
        <v>1</v>
      </c>
      <c r="I373" s="7">
        <v>1</v>
      </c>
      <c r="P373" s="7">
        <v>1</v>
      </c>
    </row>
    <row r="374" spans="1:16" x14ac:dyDescent="0.55000000000000004">
      <c r="A374" s="7">
        <v>13</v>
      </c>
      <c r="B374" s="7">
        <v>1</v>
      </c>
      <c r="C374" s="7">
        <f t="shared" si="15"/>
        <v>13</v>
      </c>
      <c r="D374" s="7">
        <v>100.3</v>
      </c>
      <c r="E374" s="7" t="s">
        <v>352</v>
      </c>
      <c r="G374" s="7">
        <v>1</v>
      </c>
      <c r="H374" s="7">
        <v>1</v>
      </c>
      <c r="I374" s="7">
        <v>1</v>
      </c>
      <c r="M374" s="7">
        <v>1</v>
      </c>
      <c r="N374" s="7">
        <v>1</v>
      </c>
      <c r="P374" s="7">
        <v>1</v>
      </c>
    </row>
    <row r="375" spans="1:16" x14ac:dyDescent="0.55000000000000004">
      <c r="A375" s="7">
        <v>13</v>
      </c>
      <c r="B375" s="7">
        <v>1</v>
      </c>
      <c r="C375" s="7">
        <f t="shared" si="15"/>
        <v>14</v>
      </c>
      <c r="D375" s="7">
        <v>84.7</v>
      </c>
      <c r="E375" s="7" t="s">
        <v>353</v>
      </c>
      <c r="G375" s="7">
        <v>1</v>
      </c>
      <c r="H375" s="7">
        <v>1</v>
      </c>
      <c r="I375" s="7">
        <v>1</v>
      </c>
      <c r="P375" s="7">
        <v>1</v>
      </c>
    </row>
    <row r="376" spans="1:16" x14ac:dyDescent="0.55000000000000004">
      <c r="A376" s="7">
        <v>13</v>
      </c>
      <c r="B376" s="7">
        <v>1</v>
      </c>
      <c r="C376" s="7">
        <f t="shared" si="15"/>
        <v>15</v>
      </c>
      <c r="D376" s="7">
        <v>70</v>
      </c>
      <c r="E376" s="7" t="s">
        <v>354</v>
      </c>
      <c r="G376" s="7">
        <v>1</v>
      </c>
      <c r="H376" s="7">
        <v>1</v>
      </c>
      <c r="I376" s="7">
        <v>1</v>
      </c>
      <c r="M376" s="7">
        <v>1</v>
      </c>
      <c r="N376" s="7">
        <v>1</v>
      </c>
      <c r="P376" s="7">
        <v>1</v>
      </c>
    </row>
    <row r="377" spans="1:16" x14ac:dyDescent="0.55000000000000004">
      <c r="A377" s="7">
        <v>13</v>
      </c>
      <c r="B377" s="7">
        <v>1</v>
      </c>
      <c r="C377" s="7">
        <f t="shared" si="15"/>
        <v>16</v>
      </c>
      <c r="D377" s="7">
        <v>54.9</v>
      </c>
      <c r="E377" s="7" t="s">
        <v>355</v>
      </c>
      <c r="G377" s="7">
        <v>1</v>
      </c>
      <c r="H377" s="7">
        <v>1</v>
      </c>
      <c r="I377" s="7">
        <v>1</v>
      </c>
      <c r="J377" s="7">
        <v>1</v>
      </c>
      <c r="P377" s="7">
        <v>1</v>
      </c>
    </row>
    <row r="378" spans="1:16" x14ac:dyDescent="0.55000000000000004">
      <c r="A378" s="7">
        <v>13</v>
      </c>
      <c r="B378" s="7">
        <v>1</v>
      </c>
      <c r="C378" s="7">
        <f t="shared" si="15"/>
        <v>17</v>
      </c>
      <c r="D378" s="7">
        <v>54.9</v>
      </c>
      <c r="E378" s="7" t="s">
        <v>355</v>
      </c>
    </row>
    <row r="379" spans="1:16" x14ac:dyDescent="0.55000000000000004">
      <c r="A379" s="7">
        <v>13</v>
      </c>
      <c r="B379" s="7">
        <v>1</v>
      </c>
      <c r="C379" s="7">
        <f t="shared" si="15"/>
        <v>18</v>
      </c>
      <c r="D379" s="7">
        <v>40</v>
      </c>
      <c r="E379" s="7" t="s">
        <v>356</v>
      </c>
      <c r="G379" s="7">
        <v>1</v>
      </c>
      <c r="H379" s="7">
        <v>1</v>
      </c>
      <c r="I379" s="7">
        <v>1</v>
      </c>
      <c r="J379" s="7">
        <v>1</v>
      </c>
      <c r="M379" s="7">
        <v>1</v>
      </c>
      <c r="N379" s="7">
        <v>1</v>
      </c>
      <c r="P379" s="7">
        <v>1</v>
      </c>
    </row>
    <row r="380" spans="1:16" x14ac:dyDescent="0.55000000000000004">
      <c r="A380" s="7">
        <v>13</v>
      </c>
      <c r="B380" s="7">
        <v>1</v>
      </c>
      <c r="C380" s="7">
        <f t="shared" si="15"/>
        <v>19</v>
      </c>
      <c r="D380" s="7">
        <v>40</v>
      </c>
      <c r="E380" s="7" t="s">
        <v>356</v>
      </c>
    </row>
    <row r="381" spans="1:16" x14ac:dyDescent="0.55000000000000004">
      <c r="A381" s="7">
        <v>13</v>
      </c>
      <c r="B381" s="7">
        <v>1</v>
      </c>
      <c r="C381" s="7">
        <f t="shared" si="15"/>
        <v>20</v>
      </c>
      <c r="D381" s="7">
        <v>30</v>
      </c>
      <c r="E381" s="7" t="s">
        <v>357</v>
      </c>
      <c r="F381" s="7">
        <v>1</v>
      </c>
      <c r="G381" s="7">
        <v>1</v>
      </c>
      <c r="H381" s="7">
        <v>1</v>
      </c>
      <c r="I381" s="7">
        <v>1</v>
      </c>
      <c r="J381" s="7">
        <v>1</v>
      </c>
      <c r="P381" s="7">
        <v>1</v>
      </c>
    </row>
    <row r="382" spans="1:16" x14ac:dyDescent="0.55000000000000004">
      <c r="A382" s="7">
        <v>13</v>
      </c>
      <c r="B382" s="7">
        <v>1</v>
      </c>
      <c r="C382" s="7">
        <f t="shared" si="15"/>
        <v>21</v>
      </c>
      <c r="D382" s="7">
        <v>20.100000000000001</v>
      </c>
      <c r="E382" s="7" t="s">
        <v>358</v>
      </c>
      <c r="G382" s="7">
        <v>1</v>
      </c>
      <c r="H382" s="7">
        <v>1</v>
      </c>
      <c r="I382" s="7">
        <v>1</v>
      </c>
      <c r="J382" s="7">
        <v>1</v>
      </c>
      <c r="M382" s="7">
        <v>1</v>
      </c>
      <c r="N382" s="7">
        <v>1</v>
      </c>
      <c r="P382" s="7">
        <v>1</v>
      </c>
    </row>
    <row r="383" spans="1:16" x14ac:dyDescent="0.55000000000000004">
      <c r="A383" s="7">
        <v>13</v>
      </c>
      <c r="B383" s="7">
        <v>1</v>
      </c>
      <c r="C383" s="7">
        <f t="shared" si="15"/>
        <v>22</v>
      </c>
      <c r="D383" s="7">
        <v>10.1</v>
      </c>
      <c r="E383" s="7" t="s">
        <v>359</v>
      </c>
      <c r="G383" s="7">
        <v>1</v>
      </c>
      <c r="H383" s="7">
        <v>1</v>
      </c>
      <c r="I383" s="7">
        <v>1</v>
      </c>
      <c r="J383" s="7">
        <v>1</v>
      </c>
      <c r="P383" s="7">
        <v>1</v>
      </c>
    </row>
    <row r="384" spans="1:16" x14ac:dyDescent="0.55000000000000004">
      <c r="A384" s="7">
        <v>13</v>
      </c>
      <c r="B384" s="7">
        <v>1</v>
      </c>
      <c r="C384" s="7">
        <f t="shared" si="15"/>
        <v>23</v>
      </c>
      <c r="D384" s="7">
        <v>2.8</v>
      </c>
      <c r="E384" s="7" t="s">
        <v>360</v>
      </c>
    </row>
    <row r="385" spans="1:18" x14ac:dyDescent="0.55000000000000004">
      <c r="A385" s="7">
        <v>13</v>
      </c>
      <c r="B385" s="7">
        <v>1</v>
      </c>
      <c r="C385" s="7">
        <f>C384+1</f>
        <v>24</v>
      </c>
      <c r="D385" s="7">
        <v>2.8</v>
      </c>
      <c r="E385" s="7" t="s">
        <v>360</v>
      </c>
      <c r="F385" s="7">
        <v>1</v>
      </c>
      <c r="G385" s="7">
        <v>1</v>
      </c>
      <c r="H385" s="7">
        <v>1</v>
      </c>
      <c r="I385" s="7">
        <v>1</v>
      </c>
      <c r="J385" s="7">
        <v>1</v>
      </c>
      <c r="M385" s="7">
        <v>1</v>
      </c>
      <c r="N385" s="7">
        <v>1</v>
      </c>
      <c r="P385" s="7">
        <v>1</v>
      </c>
      <c r="Q385" s="7">
        <v>1</v>
      </c>
      <c r="R385" s="7">
        <v>1</v>
      </c>
    </row>
    <row r="386" spans="1:18" x14ac:dyDescent="0.55000000000000004">
      <c r="A386" s="7">
        <v>13</v>
      </c>
      <c r="B386" s="7">
        <v>2</v>
      </c>
      <c r="C386" s="7">
        <v>1</v>
      </c>
      <c r="D386" s="7">
        <v>250</v>
      </c>
      <c r="E386" s="7" t="s">
        <v>362</v>
      </c>
      <c r="K386" s="7">
        <v>1</v>
      </c>
    </row>
    <row r="387" spans="1:18" x14ac:dyDescent="0.55000000000000004">
      <c r="A387" s="7">
        <v>13</v>
      </c>
      <c r="B387" s="7">
        <v>2</v>
      </c>
      <c r="C387" s="7">
        <f>C386+1</f>
        <v>2</v>
      </c>
      <c r="D387" s="7">
        <v>250</v>
      </c>
      <c r="E387" s="7" t="s">
        <v>362</v>
      </c>
      <c r="K387" s="7">
        <v>1</v>
      </c>
    </row>
    <row r="388" spans="1:18" x14ac:dyDescent="0.55000000000000004">
      <c r="A388" s="7">
        <v>13</v>
      </c>
      <c r="B388" s="7">
        <v>2</v>
      </c>
      <c r="C388" s="7">
        <f t="shared" ref="C388:C409" si="16">C387+1</f>
        <v>3</v>
      </c>
      <c r="D388" s="7">
        <v>250</v>
      </c>
      <c r="E388" s="7" t="s">
        <v>362</v>
      </c>
      <c r="K388" s="7">
        <v>1</v>
      </c>
    </row>
    <row r="389" spans="1:18" x14ac:dyDescent="0.55000000000000004">
      <c r="A389" s="7">
        <v>13</v>
      </c>
      <c r="B389" s="7">
        <v>2</v>
      </c>
      <c r="C389" s="7">
        <f t="shared" si="16"/>
        <v>4</v>
      </c>
      <c r="D389" s="7">
        <v>250</v>
      </c>
      <c r="E389" s="7" t="s">
        <v>362</v>
      </c>
      <c r="K389" s="7">
        <v>1</v>
      </c>
    </row>
    <row r="390" spans="1:18" x14ac:dyDescent="0.55000000000000004">
      <c r="A390" s="7">
        <v>13</v>
      </c>
      <c r="B390" s="7">
        <v>2</v>
      </c>
      <c r="C390" s="7">
        <f t="shared" si="16"/>
        <v>5</v>
      </c>
      <c r="D390" s="7">
        <v>250</v>
      </c>
      <c r="E390" s="7" t="s">
        <v>362</v>
      </c>
      <c r="K390" s="7">
        <v>1</v>
      </c>
    </row>
    <row r="391" spans="1:18" x14ac:dyDescent="0.55000000000000004">
      <c r="A391" s="7">
        <v>13</v>
      </c>
      <c r="B391" s="7">
        <v>2</v>
      </c>
      <c r="C391" s="7">
        <f t="shared" si="16"/>
        <v>6</v>
      </c>
      <c r="D391" s="7">
        <v>250</v>
      </c>
      <c r="E391" s="7" t="s">
        <v>362</v>
      </c>
      <c r="K391" s="7">
        <v>1</v>
      </c>
    </row>
    <row r="392" spans="1:18" x14ac:dyDescent="0.55000000000000004">
      <c r="A392" s="7">
        <v>13</v>
      </c>
      <c r="B392" s="7">
        <v>2</v>
      </c>
      <c r="C392" s="7">
        <f t="shared" si="16"/>
        <v>7</v>
      </c>
      <c r="D392" s="7">
        <v>101.2</v>
      </c>
      <c r="E392" s="7" t="s">
        <v>363</v>
      </c>
      <c r="K392" s="7">
        <v>1</v>
      </c>
    </row>
    <row r="393" spans="1:18" x14ac:dyDescent="0.55000000000000004">
      <c r="A393" s="7">
        <v>13</v>
      </c>
      <c r="B393" s="7">
        <v>2</v>
      </c>
      <c r="C393" s="7">
        <f t="shared" si="16"/>
        <v>8</v>
      </c>
      <c r="D393" s="7">
        <v>101.2</v>
      </c>
      <c r="E393" s="7" t="s">
        <v>363</v>
      </c>
      <c r="K393" s="7">
        <v>1</v>
      </c>
    </row>
    <row r="394" spans="1:18" x14ac:dyDescent="0.55000000000000004">
      <c r="A394" s="7">
        <v>13</v>
      </c>
      <c r="B394" s="7">
        <v>2</v>
      </c>
      <c r="C394" s="7">
        <f t="shared" si="16"/>
        <v>9</v>
      </c>
      <c r="D394" s="7">
        <v>101.2</v>
      </c>
      <c r="E394" s="7" t="s">
        <v>363</v>
      </c>
      <c r="K394" s="7">
        <v>1</v>
      </c>
    </row>
    <row r="395" spans="1:18" x14ac:dyDescent="0.55000000000000004">
      <c r="A395" s="7">
        <v>13</v>
      </c>
      <c r="B395" s="7">
        <v>2</v>
      </c>
      <c r="C395" s="7">
        <f t="shared" si="16"/>
        <v>10</v>
      </c>
      <c r="D395" s="7">
        <v>101.2</v>
      </c>
      <c r="E395" s="7" t="s">
        <v>363</v>
      </c>
      <c r="K395" s="7">
        <v>1</v>
      </c>
    </row>
    <row r="396" spans="1:18" x14ac:dyDescent="0.55000000000000004">
      <c r="A396" s="7">
        <v>13</v>
      </c>
      <c r="B396" s="7">
        <v>2</v>
      </c>
      <c r="C396" s="7">
        <f t="shared" si="16"/>
        <v>11</v>
      </c>
      <c r="D396" s="7">
        <v>101.2</v>
      </c>
      <c r="E396" s="7" t="s">
        <v>363</v>
      </c>
      <c r="K396" s="7">
        <v>1</v>
      </c>
    </row>
    <row r="397" spans="1:18" x14ac:dyDescent="0.55000000000000004">
      <c r="A397" s="7">
        <v>13</v>
      </c>
      <c r="B397" s="7">
        <v>2</v>
      </c>
      <c r="C397" s="7">
        <f t="shared" si="16"/>
        <v>12</v>
      </c>
      <c r="D397" s="7">
        <v>101.2</v>
      </c>
      <c r="E397" s="7" t="s">
        <v>363</v>
      </c>
      <c r="K397" s="7">
        <v>1</v>
      </c>
    </row>
    <row r="398" spans="1:18" x14ac:dyDescent="0.55000000000000004">
      <c r="A398" s="7">
        <v>13</v>
      </c>
      <c r="B398" s="7">
        <v>2</v>
      </c>
      <c r="C398" s="7">
        <f t="shared" si="16"/>
        <v>13</v>
      </c>
      <c r="D398" s="7">
        <v>40.299999999999997</v>
      </c>
      <c r="E398" s="7" t="s">
        <v>364</v>
      </c>
      <c r="K398" s="7">
        <v>1</v>
      </c>
    </row>
    <row r="399" spans="1:18" x14ac:dyDescent="0.55000000000000004">
      <c r="A399" s="7">
        <v>13</v>
      </c>
      <c r="B399" s="7">
        <v>2</v>
      </c>
      <c r="C399" s="7">
        <f t="shared" si="16"/>
        <v>14</v>
      </c>
      <c r="D399" s="7">
        <v>40.299999999999997</v>
      </c>
      <c r="E399" s="7" t="s">
        <v>364</v>
      </c>
      <c r="K399" s="7">
        <v>1</v>
      </c>
    </row>
    <row r="400" spans="1:18" x14ac:dyDescent="0.55000000000000004">
      <c r="A400" s="7">
        <v>13</v>
      </c>
      <c r="B400" s="7">
        <v>2</v>
      </c>
      <c r="C400" s="7">
        <f t="shared" si="16"/>
        <v>15</v>
      </c>
      <c r="D400" s="7">
        <v>40.299999999999997</v>
      </c>
      <c r="E400" s="7" t="s">
        <v>364</v>
      </c>
      <c r="K400" s="7">
        <v>1</v>
      </c>
    </row>
    <row r="401" spans="1:16" x14ac:dyDescent="0.55000000000000004">
      <c r="A401" s="7">
        <v>13</v>
      </c>
      <c r="B401" s="7">
        <v>2</v>
      </c>
      <c r="C401" s="7">
        <f t="shared" si="16"/>
        <v>16</v>
      </c>
      <c r="D401" s="7">
        <v>40.299999999999997</v>
      </c>
      <c r="E401" s="7" t="s">
        <v>364</v>
      </c>
      <c r="K401" s="7">
        <v>1</v>
      </c>
    </row>
    <row r="402" spans="1:16" x14ac:dyDescent="0.55000000000000004">
      <c r="A402" s="7">
        <v>13</v>
      </c>
      <c r="B402" s="7">
        <v>2</v>
      </c>
      <c r="C402" s="7">
        <f t="shared" si="16"/>
        <v>17</v>
      </c>
      <c r="D402" s="7">
        <v>40.299999999999997</v>
      </c>
      <c r="E402" s="7" t="s">
        <v>364</v>
      </c>
      <c r="K402" s="7">
        <v>1</v>
      </c>
    </row>
    <row r="403" spans="1:16" x14ac:dyDescent="0.55000000000000004">
      <c r="A403" s="7">
        <v>13</v>
      </c>
      <c r="B403" s="7">
        <v>2</v>
      </c>
      <c r="C403" s="7">
        <f t="shared" si="16"/>
        <v>18</v>
      </c>
      <c r="D403" s="7">
        <v>40.299999999999997</v>
      </c>
      <c r="E403" s="7" t="s">
        <v>364</v>
      </c>
      <c r="K403" s="7">
        <v>1</v>
      </c>
    </row>
    <row r="404" spans="1:16" x14ac:dyDescent="0.55000000000000004">
      <c r="A404" s="7">
        <v>13</v>
      </c>
      <c r="B404" s="7">
        <v>2</v>
      </c>
      <c r="C404" s="7">
        <f t="shared" si="16"/>
        <v>19</v>
      </c>
      <c r="D404" s="7">
        <v>19.8</v>
      </c>
      <c r="E404" s="7" t="s">
        <v>365</v>
      </c>
      <c r="K404" s="7">
        <v>1</v>
      </c>
    </row>
    <row r="405" spans="1:16" x14ac:dyDescent="0.55000000000000004">
      <c r="A405" s="7">
        <v>13</v>
      </c>
      <c r="B405" s="7">
        <v>2</v>
      </c>
      <c r="C405" s="7">
        <f t="shared" si="16"/>
        <v>20</v>
      </c>
      <c r="D405" s="7">
        <v>19.8</v>
      </c>
      <c r="E405" s="7" t="s">
        <v>365</v>
      </c>
      <c r="K405" s="7">
        <v>1</v>
      </c>
    </row>
    <row r="406" spans="1:16" x14ac:dyDescent="0.55000000000000004">
      <c r="A406" s="7">
        <v>13</v>
      </c>
      <c r="B406" s="7">
        <v>2</v>
      </c>
      <c r="C406" s="7">
        <f>C405+1</f>
        <v>21</v>
      </c>
      <c r="D406" s="7">
        <v>19.8</v>
      </c>
      <c r="E406" s="7" t="s">
        <v>365</v>
      </c>
      <c r="K406" s="7">
        <v>1</v>
      </c>
    </row>
    <row r="407" spans="1:16" x14ac:dyDescent="0.55000000000000004">
      <c r="A407" s="7">
        <v>13</v>
      </c>
      <c r="B407" s="7">
        <v>2</v>
      </c>
      <c r="C407" s="7">
        <f t="shared" si="16"/>
        <v>22</v>
      </c>
      <c r="D407" s="7">
        <v>19.8</v>
      </c>
      <c r="E407" s="7" t="s">
        <v>365</v>
      </c>
      <c r="K407" s="7">
        <v>1</v>
      </c>
    </row>
    <row r="408" spans="1:16" x14ac:dyDescent="0.55000000000000004">
      <c r="A408" s="7">
        <v>13</v>
      </c>
      <c r="B408" s="7">
        <v>2</v>
      </c>
      <c r="C408" s="7">
        <f t="shared" si="16"/>
        <v>23</v>
      </c>
      <c r="D408" s="7">
        <v>19.8</v>
      </c>
      <c r="E408" s="7" t="s">
        <v>365</v>
      </c>
      <c r="K408" s="7">
        <v>1</v>
      </c>
    </row>
    <row r="409" spans="1:16" x14ac:dyDescent="0.55000000000000004">
      <c r="A409" s="7">
        <v>13</v>
      </c>
      <c r="B409" s="7">
        <v>2</v>
      </c>
      <c r="C409" s="7">
        <f t="shared" si="16"/>
        <v>24</v>
      </c>
      <c r="D409" s="7">
        <v>19.8</v>
      </c>
      <c r="E409" s="7" t="s">
        <v>365</v>
      </c>
      <c r="K409" s="7">
        <v>1</v>
      </c>
    </row>
    <row r="410" spans="1:16" x14ac:dyDescent="0.55000000000000004">
      <c r="A410" s="7">
        <v>14</v>
      </c>
      <c r="B410" s="7">
        <v>1</v>
      </c>
      <c r="C410" s="7">
        <v>1</v>
      </c>
      <c r="D410" s="7">
        <v>1002</v>
      </c>
      <c r="E410" s="7" t="s">
        <v>375</v>
      </c>
      <c r="G410" s="7">
        <v>1</v>
      </c>
      <c r="I410" s="7">
        <v>1</v>
      </c>
      <c r="P410" s="7">
        <v>1</v>
      </c>
    </row>
    <row r="411" spans="1:16" x14ac:dyDescent="0.55000000000000004">
      <c r="A411" s="7">
        <v>14</v>
      </c>
      <c r="B411" s="7">
        <v>1</v>
      </c>
      <c r="C411" s="7">
        <f>C410+1</f>
        <v>2</v>
      </c>
      <c r="D411" s="7">
        <v>750</v>
      </c>
      <c r="E411" s="7" t="s">
        <v>374</v>
      </c>
      <c r="G411" s="7">
        <v>1</v>
      </c>
      <c r="I411" s="7">
        <v>1</v>
      </c>
      <c r="P411" s="7">
        <v>1</v>
      </c>
    </row>
    <row r="412" spans="1:16" x14ac:dyDescent="0.55000000000000004">
      <c r="A412" s="7">
        <v>14</v>
      </c>
      <c r="B412" s="7">
        <v>1</v>
      </c>
      <c r="C412" s="7">
        <f t="shared" ref="C412:C432" si="17">C411+1</f>
        <v>3</v>
      </c>
      <c r="D412" s="7">
        <v>500</v>
      </c>
      <c r="E412" s="7" t="s">
        <v>376</v>
      </c>
      <c r="G412" s="7">
        <v>1</v>
      </c>
      <c r="I412" s="7">
        <v>1</v>
      </c>
      <c r="P412" s="7">
        <v>1</v>
      </c>
    </row>
    <row r="413" spans="1:16" x14ac:dyDescent="0.55000000000000004">
      <c r="A413" s="7">
        <v>14</v>
      </c>
      <c r="B413" s="7">
        <v>1</v>
      </c>
      <c r="C413" s="7">
        <f t="shared" si="17"/>
        <v>4</v>
      </c>
      <c r="D413" s="7">
        <v>300</v>
      </c>
      <c r="E413" s="7" t="s">
        <v>377</v>
      </c>
      <c r="G413" s="7">
        <v>1</v>
      </c>
      <c r="H413" s="7">
        <v>1</v>
      </c>
      <c r="I413" s="7">
        <v>1</v>
      </c>
      <c r="P413" s="7">
        <v>1</v>
      </c>
    </row>
    <row r="414" spans="1:16" x14ac:dyDescent="0.55000000000000004">
      <c r="A414" s="7">
        <v>14</v>
      </c>
      <c r="B414" s="7">
        <v>1</v>
      </c>
      <c r="C414" s="7">
        <f t="shared" si="17"/>
        <v>5</v>
      </c>
      <c r="D414" s="7">
        <v>200</v>
      </c>
      <c r="E414" s="7" t="s">
        <v>378</v>
      </c>
      <c r="G414" s="7">
        <v>1</v>
      </c>
      <c r="H414" s="7">
        <v>1</v>
      </c>
      <c r="I414" s="7">
        <v>1</v>
      </c>
      <c r="P414" s="7">
        <v>1</v>
      </c>
    </row>
    <row r="415" spans="1:16" x14ac:dyDescent="0.55000000000000004">
      <c r="A415" s="7">
        <v>14</v>
      </c>
      <c r="B415" s="7">
        <v>1</v>
      </c>
      <c r="C415" s="7">
        <f t="shared" si="17"/>
        <v>6</v>
      </c>
      <c r="D415" s="7">
        <v>130</v>
      </c>
      <c r="E415" s="7" t="s">
        <v>379</v>
      </c>
      <c r="G415" s="7">
        <v>1</v>
      </c>
      <c r="H415" s="7">
        <v>1</v>
      </c>
      <c r="I415" s="7">
        <v>1</v>
      </c>
      <c r="P415" s="7">
        <v>1</v>
      </c>
    </row>
    <row r="416" spans="1:16" x14ac:dyDescent="0.55000000000000004">
      <c r="A416" s="7">
        <v>14</v>
      </c>
      <c r="B416" s="7">
        <v>1</v>
      </c>
      <c r="C416" s="7">
        <f t="shared" si="17"/>
        <v>7</v>
      </c>
      <c r="D416" s="7">
        <v>114.8</v>
      </c>
      <c r="E416" s="7" t="s">
        <v>380</v>
      </c>
      <c r="G416" s="7">
        <v>1</v>
      </c>
      <c r="H416" s="7">
        <v>1</v>
      </c>
      <c r="I416" s="7">
        <v>1</v>
      </c>
      <c r="P416" s="7">
        <v>1</v>
      </c>
    </row>
    <row r="417" spans="1:18" x14ac:dyDescent="0.55000000000000004">
      <c r="A417" s="7">
        <v>14</v>
      </c>
      <c r="B417" s="7">
        <v>1</v>
      </c>
      <c r="C417" s="7">
        <f t="shared" si="17"/>
        <v>8</v>
      </c>
      <c r="D417" s="7">
        <v>100</v>
      </c>
      <c r="E417" s="7" t="s">
        <v>381</v>
      </c>
      <c r="G417" s="7">
        <v>1</v>
      </c>
      <c r="H417" s="7">
        <v>1</v>
      </c>
      <c r="I417" s="7">
        <v>1</v>
      </c>
      <c r="P417" s="7">
        <v>1</v>
      </c>
    </row>
    <row r="418" spans="1:18" x14ac:dyDescent="0.55000000000000004">
      <c r="A418" s="7">
        <v>14</v>
      </c>
      <c r="B418" s="7">
        <v>1</v>
      </c>
      <c r="C418" s="7">
        <f t="shared" si="17"/>
        <v>9</v>
      </c>
      <c r="D418" s="7">
        <v>69.7</v>
      </c>
      <c r="E418" s="7" t="s">
        <v>382</v>
      </c>
      <c r="G418" s="7">
        <v>1</v>
      </c>
      <c r="H418" s="7">
        <v>1</v>
      </c>
      <c r="I418" s="7">
        <v>1</v>
      </c>
      <c r="P418" s="7">
        <v>1</v>
      </c>
    </row>
    <row r="419" spans="1:18" x14ac:dyDescent="0.55000000000000004">
      <c r="A419" s="7">
        <v>14</v>
      </c>
      <c r="B419" s="7">
        <v>1</v>
      </c>
      <c r="C419" s="7">
        <f t="shared" si="17"/>
        <v>10</v>
      </c>
      <c r="D419" s="7">
        <v>55.5</v>
      </c>
      <c r="E419" s="7" t="s">
        <v>383</v>
      </c>
      <c r="G419" s="7">
        <v>1</v>
      </c>
      <c r="H419" s="7">
        <v>1</v>
      </c>
      <c r="I419" s="7">
        <v>1</v>
      </c>
      <c r="J419" s="7">
        <v>1</v>
      </c>
      <c r="P419" s="7">
        <v>1</v>
      </c>
    </row>
    <row r="420" spans="1:18" x14ac:dyDescent="0.55000000000000004">
      <c r="A420" s="7">
        <v>14</v>
      </c>
      <c r="B420" s="7">
        <v>1</v>
      </c>
      <c r="C420" s="7">
        <f t="shared" si="17"/>
        <v>11</v>
      </c>
      <c r="D420" s="7">
        <v>39.9</v>
      </c>
      <c r="E420" s="7" t="s">
        <v>384</v>
      </c>
      <c r="G420" s="7">
        <v>1</v>
      </c>
      <c r="H420" s="7">
        <v>1</v>
      </c>
      <c r="I420" s="7">
        <v>1</v>
      </c>
      <c r="J420" s="7">
        <v>1</v>
      </c>
      <c r="P420" s="7">
        <v>1</v>
      </c>
    </row>
    <row r="421" spans="1:18" x14ac:dyDescent="0.55000000000000004">
      <c r="A421" s="7">
        <v>14</v>
      </c>
      <c r="B421" s="7">
        <v>1</v>
      </c>
      <c r="C421" s="7">
        <f t="shared" si="17"/>
        <v>12</v>
      </c>
      <c r="D421" s="7">
        <v>29.9</v>
      </c>
      <c r="E421" s="7" t="s">
        <v>385</v>
      </c>
      <c r="G421" s="7">
        <v>1</v>
      </c>
      <c r="H421" s="7">
        <v>1</v>
      </c>
      <c r="I421" s="7">
        <v>1</v>
      </c>
      <c r="J421" s="7">
        <v>1</v>
      </c>
      <c r="P421" s="7">
        <v>1</v>
      </c>
    </row>
    <row r="422" spans="1:18" x14ac:dyDescent="0.55000000000000004">
      <c r="A422" s="7">
        <v>14</v>
      </c>
      <c r="B422" s="7">
        <v>1</v>
      </c>
      <c r="C422" s="7">
        <f t="shared" si="17"/>
        <v>13</v>
      </c>
      <c r="D422" s="7">
        <v>20</v>
      </c>
      <c r="E422" s="7" t="s">
        <v>386</v>
      </c>
      <c r="G422" s="7">
        <v>1</v>
      </c>
      <c r="H422" s="7">
        <v>1</v>
      </c>
      <c r="I422" s="7">
        <v>1</v>
      </c>
      <c r="J422" s="7">
        <v>1</v>
      </c>
      <c r="P422" s="7">
        <v>1</v>
      </c>
    </row>
    <row r="423" spans="1:18" x14ac:dyDescent="0.55000000000000004">
      <c r="A423" s="7">
        <v>14</v>
      </c>
      <c r="B423" s="7">
        <v>1</v>
      </c>
      <c r="C423" s="7">
        <f t="shared" si="17"/>
        <v>14</v>
      </c>
      <c r="D423" s="7">
        <v>10</v>
      </c>
      <c r="E423" s="7" t="s">
        <v>387</v>
      </c>
      <c r="G423" s="7">
        <v>1</v>
      </c>
      <c r="H423" s="7">
        <v>1</v>
      </c>
      <c r="I423" s="7">
        <v>1</v>
      </c>
      <c r="J423" s="7">
        <v>1</v>
      </c>
      <c r="P423" s="7">
        <v>1</v>
      </c>
    </row>
    <row r="424" spans="1:18" x14ac:dyDescent="0.55000000000000004">
      <c r="A424" s="7">
        <v>14</v>
      </c>
      <c r="B424" s="7">
        <v>1</v>
      </c>
      <c r="C424" s="7">
        <f t="shared" si="17"/>
        <v>15</v>
      </c>
      <c r="D424" s="7">
        <v>2.8</v>
      </c>
      <c r="E424" s="7" t="s">
        <v>388</v>
      </c>
      <c r="G424" s="7">
        <v>1</v>
      </c>
      <c r="H424" s="7">
        <v>1</v>
      </c>
      <c r="I424" s="7">
        <v>1</v>
      </c>
      <c r="J424" s="7">
        <v>1</v>
      </c>
      <c r="P424" s="7">
        <v>1</v>
      </c>
      <c r="Q424" s="7">
        <v>1</v>
      </c>
      <c r="R424" s="7">
        <v>1</v>
      </c>
    </row>
    <row r="425" spans="1:18" x14ac:dyDescent="0.55000000000000004">
      <c r="A425" s="7">
        <v>14</v>
      </c>
      <c r="B425" s="7">
        <v>1</v>
      </c>
      <c r="C425" s="7">
        <f t="shared" si="17"/>
        <v>16</v>
      </c>
      <c r="D425" s="7">
        <v>2.8</v>
      </c>
      <c r="E425" s="7" t="s">
        <v>388</v>
      </c>
    </row>
    <row r="426" spans="1:18" x14ac:dyDescent="0.55000000000000004">
      <c r="A426" s="7">
        <v>14</v>
      </c>
      <c r="B426" s="7">
        <v>1</v>
      </c>
      <c r="C426" s="7">
        <f t="shared" si="17"/>
        <v>17</v>
      </c>
      <c r="D426" s="7">
        <v>2.8</v>
      </c>
      <c r="E426" s="7" t="s">
        <v>388</v>
      </c>
    </row>
    <row r="427" spans="1:18" x14ac:dyDescent="0.55000000000000004">
      <c r="A427" s="7">
        <v>14</v>
      </c>
      <c r="B427" s="7">
        <v>1</v>
      </c>
      <c r="C427" s="7">
        <f t="shared" si="17"/>
        <v>18</v>
      </c>
      <c r="D427" s="7">
        <v>2.8</v>
      </c>
      <c r="E427" s="7" t="s">
        <v>388</v>
      </c>
    </row>
    <row r="428" spans="1:18" x14ac:dyDescent="0.55000000000000004">
      <c r="A428" s="7">
        <v>14</v>
      </c>
      <c r="B428" s="7">
        <v>1</v>
      </c>
      <c r="C428" s="7">
        <f t="shared" si="17"/>
        <v>19</v>
      </c>
      <c r="D428" s="7">
        <v>2.8</v>
      </c>
      <c r="E428" s="7" t="s">
        <v>388</v>
      </c>
    </row>
    <row r="429" spans="1:18" x14ac:dyDescent="0.55000000000000004">
      <c r="A429" s="7">
        <v>14</v>
      </c>
      <c r="B429" s="7">
        <v>1</v>
      </c>
      <c r="C429" s="7">
        <f t="shared" si="17"/>
        <v>20</v>
      </c>
      <c r="D429" s="7">
        <v>2.8</v>
      </c>
      <c r="E429" s="7" t="s">
        <v>388</v>
      </c>
    </row>
    <row r="430" spans="1:18" x14ac:dyDescent="0.55000000000000004">
      <c r="A430" s="7">
        <v>14</v>
      </c>
      <c r="B430" s="7">
        <v>1</v>
      </c>
      <c r="C430" s="7">
        <f t="shared" si="17"/>
        <v>21</v>
      </c>
      <c r="D430" s="7">
        <v>2.8</v>
      </c>
      <c r="E430" s="7" t="s">
        <v>388</v>
      </c>
    </row>
    <row r="431" spans="1:18" x14ac:dyDescent="0.55000000000000004">
      <c r="A431" s="7">
        <v>14</v>
      </c>
      <c r="B431" s="7">
        <v>1</v>
      </c>
      <c r="C431" s="7">
        <f t="shared" si="17"/>
        <v>22</v>
      </c>
      <c r="D431" s="7">
        <v>2.8</v>
      </c>
      <c r="E431" s="7" t="s">
        <v>388</v>
      </c>
    </row>
    <row r="432" spans="1:18" x14ac:dyDescent="0.55000000000000004">
      <c r="A432" s="7">
        <v>14</v>
      </c>
      <c r="B432" s="7">
        <v>1</v>
      </c>
      <c r="C432" s="7">
        <f t="shared" si="17"/>
        <v>23</v>
      </c>
      <c r="D432" s="7">
        <v>2.8</v>
      </c>
      <c r="E432" s="7" t="s">
        <v>388</v>
      </c>
    </row>
    <row r="433" spans="1:16" x14ac:dyDescent="0.55000000000000004">
      <c r="A433" s="7">
        <v>14</v>
      </c>
      <c r="B433" s="7">
        <v>1</v>
      </c>
      <c r="C433" s="7">
        <f>C432+1</f>
        <v>24</v>
      </c>
      <c r="D433" s="7">
        <v>2.8</v>
      </c>
      <c r="E433" s="7" t="s">
        <v>388</v>
      </c>
    </row>
    <row r="434" spans="1:16" x14ac:dyDescent="0.55000000000000004">
      <c r="A434" s="7">
        <v>15</v>
      </c>
      <c r="B434" s="7">
        <v>1</v>
      </c>
      <c r="C434" s="7">
        <v>1</v>
      </c>
      <c r="D434" s="7">
        <v>2723</v>
      </c>
      <c r="E434" s="7" t="s">
        <v>389</v>
      </c>
      <c r="G434" s="7">
        <v>1</v>
      </c>
      <c r="I434" s="7">
        <v>1</v>
      </c>
      <c r="P434" s="7">
        <v>1</v>
      </c>
    </row>
    <row r="435" spans="1:16" x14ac:dyDescent="0.55000000000000004">
      <c r="A435" s="7">
        <v>15</v>
      </c>
      <c r="B435" s="7">
        <v>1</v>
      </c>
      <c r="C435" s="7">
        <f>C434+1</f>
        <v>2</v>
      </c>
      <c r="D435" s="7">
        <v>2499</v>
      </c>
      <c r="E435" s="7" t="s">
        <v>390</v>
      </c>
      <c r="G435" s="7">
        <v>1</v>
      </c>
      <c r="I435" s="7">
        <v>1</v>
      </c>
      <c r="P435" s="7">
        <v>1</v>
      </c>
    </row>
    <row r="436" spans="1:16" x14ac:dyDescent="0.55000000000000004">
      <c r="A436" s="7">
        <v>15</v>
      </c>
      <c r="B436" s="7">
        <v>1</v>
      </c>
      <c r="C436" s="7">
        <f t="shared" ref="C436:C456" si="18">C435+1</f>
        <v>3</v>
      </c>
      <c r="D436" s="7">
        <v>2000</v>
      </c>
      <c r="E436" s="7" t="s">
        <v>391</v>
      </c>
      <c r="G436" s="7">
        <v>1</v>
      </c>
      <c r="I436" s="7">
        <v>1</v>
      </c>
      <c r="O436" s="7">
        <v>1</v>
      </c>
      <c r="P436" s="7">
        <v>1</v>
      </c>
    </row>
    <row r="437" spans="1:16" x14ac:dyDescent="0.55000000000000004">
      <c r="A437" s="7">
        <v>15</v>
      </c>
      <c r="B437" s="7">
        <v>1</v>
      </c>
      <c r="C437" s="7">
        <f t="shared" si="18"/>
        <v>4</v>
      </c>
      <c r="D437" s="7">
        <v>1502</v>
      </c>
      <c r="E437" s="7" t="s">
        <v>392</v>
      </c>
      <c r="G437" s="7">
        <v>1</v>
      </c>
      <c r="I437" s="7">
        <v>1</v>
      </c>
      <c r="P437" s="7">
        <v>1</v>
      </c>
    </row>
    <row r="438" spans="1:16" x14ac:dyDescent="0.55000000000000004">
      <c r="A438" s="7">
        <v>15</v>
      </c>
      <c r="B438" s="7">
        <v>1</v>
      </c>
      <c r="C438" s="7">
        <f t="shared" si="18"/>
        <v>5</v>
      </c>
      <c r="D438" s="7">
        <v>1001</v>
      </c>
      <c r="E438" s="7" t="s">
        <v>393</v>
      </c>
      <c r="G438" s="7">
        <v>1</v>
      </c>
      <c r="I438" s="7">
        <v>1</v>
      </c>
      <c r="O438" s="7">
        <v>1</v>
      </c>
      <c r="P438" s="7">
        <v>1</v>
      </c>
    </row>
    <row r="439" spans="1:16" x14ac:dyDescent="0.55000000000000004">
      <c r="A439" s="7">
        <v>15</v>
      </c>
      <c r="B439" s="7">
        <v>1</v>
      </c>
      <c r="C439" s="7">
        <f t="shared" si="18"/>
        <v>6</v>
      </c>
      <c r="D439" s="7">
        <v>755</v>
      </c>
      <c r="E439" s="7" t="s">
        <v>394</v>
      </c>
      <c r="G439" s="7">
        <v>1</v>
      </c>
      <c r="I439" s="7">
        <v>1</v>
      </c>
      <c r="P439" s="7">
        <v>1</v>
      </c>
    </row>
    <row r="440" spans="1:16" x14ac:dyDescent="0.55000000000000004">
      <c r="A440" s="7">
        <v>15</v>
      </c>
      <c r="B440" s="7">
        <v>1</v>
      </c>
      <c r="C440" s="7">
        <f t="shared" si="18"/>
        <v>7</v>
      </c>
      <c r="D440" s="7">
        <v>500</v>
      </c>
      <c r="E440" s="7" t="s">
        <v>367</v>
      </c>
      <c r="G440" s="7">
        <v>1</v>
      </c>
      <c r="H440" s="7">
        <v>1</v>
      </c>
      <c r="I440" s="7">
        <v>1</v>
      </c>
      <c r="O440" s="7">
        <v>1</v>
      </c>
      <c r="P440" s="7">
        <v>1</v>
      </c>
    </row>
    <row r="441" spans="1:16" x14ac:dyDescent="0.55000000000000004">
      <c r="A441" s="7">
        <v>15</v>
      </c>
      <c r="B441" s="7">
        <v>1</v>
      </c>
      <c r="C441" s="7">
        <f t="shared" si="18"/>
        <v>8</v>
      </c>
      <c r="D441" s="7">
        <v>300.89999999999998</v>
      </c>
      <c r="E441" s="7" t="s">
        <v>395</v>
      </c>
      <c r="G441" s="7">
        <v>1</v>
      </c>
      <c r="H441" s="7">
        <v>1</v>
      </c>
      <c r="I441" s="7">
        <v>1</v>
      </c>
      <c r="P441" s="7">
        <v>1</v>
      </c>
    </row>
    <row r="442" spans="1:16" x14ac:dyDescent="0.55000000000000004">
      <c r="A442" s="7">
        <v>15</v>
      </c>
      <c r="B442" s="7">
        <v>1</v>
      </c>
      <c r="C442" s="7">
        <f t="shared" si="18"/>
        <v>9</v>
      </c>
      <c r="D442" s="7">
        <v>250</v>
      </c>
      <c r="E442" s="7" t="s">
        <v>396</v>
      </c>
      <c r="G442" s="7">
        <v>1</v>
      </c>
      <c r="H442" s="7">
        <v>1</v>
      </c>
      <c r="I442" s="7">
        <v>1</v>
      </c>
      <c r="O442" s="7">
        <v>1</v>
      </c>
      <c r="P442" s="7">
        <v>1</v>
      </c>
    </row>
    <row r="443" spans="1:16" x14ac:dyDescent="0.55000000000000004">
      <c r="A443" s="7">
        <v>15</v>
      </c>
      <c r="B443" s="7">
        <v>1</v>
      </c>
      <c r="C443" s="7">
        <f t="shared" si="18"/>
        <v>10</v>
      </c>
      <c r="D443" s="7">
        <v>199.8</v>
      </c>
      <c r="E443" s="7" t="s">
        <v>397</v>
      </c>
      <c r="G443" s="7">
        <v>1</v>
      </c>
      <c r="H443" s="7">
        <v>1</v>
      </c>
      <c r="I443" s="7">
        <v>1</v>
      </c>
      <c r="P443" s="7">
        <v>1</v>
      </c>
    </row>
    <row r="444" spans="1:16" x14ac:dyDescent="0.55000000000000004">
      <c r="A444" s="7">
        <v>15</v>
      </c>
      <c r="B444" s="7">
        <v>1</v>
      </c>
      <c r="C444" s="7">
        <f t="shared" si="18"/>
        <v>11</v>
      </c>
      <c r="D444" s="7">
        <v>175</v>
      </c>
      <c r="E444" s="7" t="s">
        <v>398</v>
      </c>
      <c r="G444" s="7">
        <v>1</v>
      </c>
      <c r="H444" s="7">
        <v>1</v>
      </c>
      <c r="I444" s="7">
        <v>1</v>
      </c>
      <c r="P444" s="7">
        <v>1</v>
      </c>
    </row>
    <row r="445" spans="1:16" x14ac:dyDescent="0.55000000000000004">
      <c r="A445" s="7">
        <v>15</v>
      </c>
      <c r="B445" s="7">
        <v>1</v>
      </c>
      <c r="C445" s="7">
        <f t="shared" si="18"/>
        <v>12</v>
      </c>
      <c r="D445" s="7">
        <v>150.1</v>
      </c>
      <c r="E445" s="7" t="s">
        <v>399</v>
      </c>
      <c r="G445" s="7">
        <v>1</v>
      </c>
      <c r="H445" s="7">
        <v>1</v>
      </c>
      <c r="I445" s="7">
        <v>1</v>
      </c>
      <c r="O445" s="7">
        <v>1</v>
      </c>
      <c r="P445" s="7">
        <v>1</v>
      </c>
    </row>
    <row r="446" spans="1:16" x14ac:dyDescent="0.55000000000000004">
      <c r="A446" s="7">
        <v>15</v>
      </c>
      <c r="B446" s="7">
        <v>1</v>
      </c>
      <c r="C446" s="7">
        <f t="shared" si="18"/>
        <v>13</v>
      </c>
      <c r="D446" s="7">
        <v>129.9</v>
      </c>
      <c r="E446" s="7" t="s">
        <v>400</v>
      </c>
      <c r="G446" s="7">
        <v>1</v>
      </c>
      <c r="H446" s="7">
        <v>1</v>
      </c>
      <c r="I446" s="7">
        <v>1</v>
      </c>
      <c r="P446" s="7">
        <v>1</v>
      </c>
    </row>
    <row r="447" spans="1:16" x14ac:dyDescent="0.55000000000000004">
      <c r="A447" s="7">
        <v>15</v>
      </c>
      <c r="B447" s="7">
        <v>1</v>
      </c>
      <c r="C447" s="7">
        <f t="shared" si="18"/>
        <v>14</v>
      </c>
      <c r="D447" s="7">
        <v>115</v>
      </c>
      <c r="E447" s="7" t="s">
        <v>401</v>
      </c>
      <c r="G447" s="7">
        <v>1</v>
      </c>
      <c r="H447" s="7">
        <v>1</v>
      </c>
      <c r="I447" s="7">
        <v>1</v>
      </c>
      <c r="O447" s="7">
        <v>1</v>
      </c>
      <c r="P447" s="7">
        <v>1</v>
      </c>
    </row>
    <row r="448" spans="1:16" x14ac:dyDescent="0.55000000000000004">
      <c r="A448" s="7">
        <v>15</v>
      </c>
      <c r="B448" s="7">
        <v>1</v>
      </c>
      <c r="C448" s="7">
        <f t="shared" si="18"/>
        <v>15</v>
      </c>
      <c r="D448" s="7">
        <v>100</v>
      </c>
      <c r="E448" s="7" t="s">
        <v>402</v>
      </c>
      <c r="G448" s="7">
        <v>1</v>
      </c>
      <c r="H448" s="7">
        <v>1</v>
      </c>
      <c r="I448" s="7">
        <v>1</v>
      </c>
      <c r="O448" s="7">
        <v>1</v>
      </c>
      <c r="P448" s="7">
        <v>1</v>
      </c>
    </row>
    <row r="449" spans="1:18" x14ac:dyDescent="0.55000000000000004">
      <c r="A449" s="7">
        <v>15</v>
      </c>
      <c r="B449" s="7">
        <v>1</v>
      </c>
      <c r="C449" s="7">
        <f t="shared" si="18"/>
        <v>16</v>
      </c>
      <c r="D449" s="7">
        <v>84.8</v>
      </c>
      <c r="E449" s="7" t="s">
        <v>403</v>
      </c>
      <c r="G449" s="7">
        <v>1</v>
      </c>
      <c r="H449" s="7">
        <v>1</v>
      </c>
      <c r="I449" s="7">
        <v>1</v>
      </c>
      <c r="P449" s="7">
        <v>1</v>
      </c>
    </row>
    <row r="450" spans="1:18" x14ac:dyDescent="0.55000000000000004">
      <c r="A450" s="7">
        <v>15</v>
      </c>
      <c r="B450" s="7">
        <v>1</v>
      </c>
      <c r="C450" s="7">
        <f t="shared" si="18"/>
        <v>17</v>
      </c>
      <c r="D450" s="7">
        <v>69.900000000000006</v>
      </c>
      <c r="E450" s="7" t="s">
        <v>366</v>
      </c>
      <c r="G450" s="7">
        <v>1</v>
      </c>
      <c r="H450" s="7">
        <v>1</v>
      </c>
      <c r="I450" s="7">
        <v>1</v>
      </c>
      <c r="O450" s="7">
        <v>1</v>
      </c>
      <c r="P450" s="7">
        <v>1</v>
      </c>
    </row>
    <row r="451" spans="1:18" x14ac:dyDescent="0.55000000000000004">
      <c r="A451" s="7">
        <v>15</v>
      </c>
      <c r="B451" s="7">
        <v>1</v>
      </c>
      <c r="C451" s="7">
        <f t="shared" si="18"/>
        <v>18</v>
      </c>
      <c r="D451" s="7">
        <v>54.8</v>
      </c>
      <c r="E451" s="7" t="s">
        <v>404</v>
      </c>
      <c r="G451" s="7">
        <v>1</v>
      </c>
      <c r="H451" s="7">
        <v>1</v>
      </c>
      <c r="I451" s="7">
        <v>1</v>
      </c>
      <c r="J451" s="7">
        <v>1</v>
      </c>
      <c r="O451" s="7">
        <v>1</v>
      </c>
      <c r="P451" s="7">
        <v>1</v>
      </c>
    </row>
    <row r="452" spans="1:18" x14ac:dyDescent="0.55000000000000004">
      <c r="A452" s="7">
        <v>15</v>
      </c>
      <c r="B452" s="7">
        <v>1</v>
      </c>
      <c r="C452" s="7">
        <f t="shared" si="18"/>
        <v>19</v>
      </c>
      <c r="D452" s="7">
        <v>40</v>
      </c>
      <c r="E452" s="7" t="s">
        <v>405</v>
      </c>
      <c r="G452" s="7">
        <v>1</v>
      </c>
      <c r="H452" s="7">
        <v>1</v>
      </c>
      <c r="I452" s="7">
        <v>1</v>
      </c>
      <c r="J452" s="7">
        <v>1</v>
      </c>
      <c r="P452" s="7">
        <v>1</v>
      </c>
    </row>
    <row r="453" spans="1:18" x14ac:dyDescent="0.55000000000000004">
      <c r="A453" s="7">
        <v>15</v>
      </c>
      <c r="B453" s="7">
        <v>1</v>
      </c>
      <c r="C453" s="7">
        <f t="shared" si="18"/>
        <v>20</v>
      </c>
      <c r="D453" s="7">
        <v>29</v>
      </c>
      <c r="E453" s="7" t="s">
        <v>406</v>
      </c>
      <c r="G453" s="7">
        <v>1</v>
      </c>
      <c r="H453" s="7">
        <v>1</v>
      </c>
      <c r="I453" s="7">
        <v>1</v>
      </c>
      <c r="J453" s="7">
        <v>1</v>
      </c>
      <c r="O453" s="7">
        <v>1</v>
      </c>
      <c r="P453" s="7">
        <v>1</v>
      </c>
    </row>
    <row r="454" spans="1:18" x14ac:dyDescent="0.55000000000000004">
      <c r="A454" s="7">
        <v>15</v>
      </c>
      <c r="B454" s="7">
        <v>1</v>
      </c>
      <c r="C454" s="7">
        <f>C453+1</f>
        <v>21</v>
      </c>
      <c r="D454" s="7">
        <v>20</v>
      </c>
      <c r="E454" s="7" t="s">
        <v>407</v>
      </c>
      <c r="G454" s="7">
        <v>1</v>
      </c>
      <c r="H454" s="7">
        <v>1</v>
      </c>
      <c r="I454" s="7">
        <v>1</v>
      </c>
      <c r="J454" s="7">
        <v>1</v>
      </c>
      <c r="P454" s="7">
        <v>1</v>
      </c>
    </row>
    <row r="455" spans="1:18" x14ac:dyDescent="0.55000000000000004">
      <c r="A455" s="7">
        <v>15</v>
      </c>
      <c r="B455" s="7">
        <v>1</v>
      </c>
      <c r="C455" s="7">
        <f t="shared" si="18"/>
        <v>22</v>
      </c>
      <c r="D455" s="7">
        <v>9.5</v>
      </c>
      <c r="E455" s="7" t="s">
        <v>408</v>
      </c>
      <c r="G455" s="7">
        <v>1</v>
      </c>
      <c r="H455" s="7">
        <v>1</v>
      </c>
      <c r="I455" s="7">
        <v>1</v>
      </c>
      <c r="J455" s="7">
        <v>1</v>
      </c>
      <c r="O455" s="7">
        <v>1</v>
      </c>
      <c r="P455" s="7">
        <v>1</v>
      </c>
    </row>
    <row r="456" spans="1:18" x14ac:dyDescent="0.55000000000000004">
      <c r="A456" s="7">
        <v>15</v>
      </c>
      <c r="B456" s="7">
        <v>1</v>
      </c>
      <c r="C456" s="7">
        <f t="shared" si="18"/>
        <v>23</v>
      </c>
      <c r="D456" s="7">
        <v>2</v>
      </c>
      <c r="E456" s="7" t="s">
        <v>409</v>
      </c>
    </row>
    <row r="457" spans="1:18" x14ac:dyDescent="0.55000000000000004">
      <c r="A457" s="7">
        <v>15</v>
      </c>
      <c r="B457" s="7">
        <v>1</v>
      </c>
      <c r="C457" s="7">
        <f>C456+1</f>
        <v>24</v>
      </c>
      <c r="D457" s="7">
        <v>2</v>
      </c>
      <c r="E457" s="7" t="s">
        <v>409</v>
      </c>
      <c r="G457" s="7">
        <v>1</v>
      </c>
      <c r="H457" s="7">
        <v>1</v>
      </c>
      <c r="I457" s="7">
        <v>1</v>
      </c>
      <c r="J457" s="7">
        <v>1</v>
      </c>
      <c r="O457" s="7">
        <v>1</v>
      </c>
      <c r="P457" s="7">
        <v>1</v>
      </c>
      <c r="Q457" s="7">
        <v>1</v>
      </c>
      <c r="R457" s="7">
        <v>1</v>
      </c>
    </row>
    <row r="458" spans="1:18" x14ac:dyDescent="0.55000000000000004">
      <c r="A458" s="7">
        <v>15</v>
      </c>
      <c r="B458" s="7">
        <v>2</v>
      </c>
      <c r="C458" s="7">
        <v>1</v>
      </c>
      <c r="D458" s="7">
        <v>250</v>
      </c>
      <c r="E458" s="7" t="s">
        <v>424</v>
      </c>
      <c r="K458" s="7">
        <v>1</v>
      </c>
    </row>
    <row r="459" spans="1:18" x14ac:dyDescent="0.55000000000000004">
      <c r="A459" s="7">
        <v>15</v>
      </c>
      <c r="B459" s="7">
        <v>2</v>
      </c>
      <c r="C459" s="7">
        <f>C458+1</f>
        <v>2</v>
      </c>
      <c r="D459" s="7">
        <v>250</v>
      </c>
      <c r="E459" s="7" t="s">
        <v>424</v>
      </c>
      <c r="K459" s="7">
        <v>1</v>
      </c>
    </row>
    <row r="460" spans="1:18" x14ac:dyDescent="0.55000000000000004">
      <c r="A460" s="7">
        <v>15</v>
      </c>
      <c r="B460" s="7">
        <v>2</v>
      </c>
      <c r="C460" s="7">
        <f t="shared" ref="C460:C480" si="19">C459+1</f>
        <v>3</v>
      </c>
      <c r="D460" s="7">
        <v>250</v>
      </c>
      <c r="E460" s="7" t="s">
        <v>424</v>
      </c>
      <c r="K460" s="7">
        <v>1</v>
      </c>
    </row>
    <row r="461" spans="1:18" x14ac:dyDescent="0.55000000000000004">
      <c r="A461" s="7">
        <v>15</v>
      </c>
      <c r="B461" s="7">
        <v>2</v>
      </c>
      <c r="C461" s="7">
        <f t="shared" si="19"/>
        <v>4</v>
      </c>
      <c r="D461" s="7">
        <v>250</v>
      </c>
      <c r="E461" s="7" t="s">
        <v>424</v>
      </c>
      <c r="K461" s="7">
        <v>1</v>
      </c>
    </row>
    <row r="462" spans="1:18" x14ac:dyDescent="0.55000000000000004">
      <c r="A462" s="7">
        <v>15</v>
      </c>
      <c r="B462" s="7">
        <v>2</v>
      </c>
      <c r="C462" s="7">
        <f t="shared" si="19"/>
        <v>5</v>
      </c>
      <c r="D462" s="7">
        <v>250</v>
      </c>
      <c r="E462" s="7" t="s">
        <v>424</v>
      </c>
      <c r="K462" s="7">
        <v>1</v>
      </c>
    </row>
    <row r="463" spans="1:18" x14ac:dyDescent="0.55000000000000004">
      <c r="A463" s="7">
        <v>15</v>
      </c>
      <c r="B463" s="7">
        <v>2</v>
      </c>
      <c r="C463" s="7">
        <f t="shared" si="19"/>
        <v>6</v>
      </c>
      <c r="D463" s="7">
        <v>250</v>
      </c>
      <c r="E463" s="7" t="s">
        <v>424</v>
      </c>
      <c r="K463" s="7">
        <v>1</v>
      </c>
    </row>
    <row r="464" spans="1:18" x14ac:dyDescent="0.55000000000000004">
      <c r="A464" s="7">
        <v>15</v>
      </c>
      <c r="B464" s="7">
        <v>2</v>
      </c>
      <c r="C464" s="7">
        <f t="shared" si="19"/>
        <v>7</v>
      </c>
      <c r="D464" s="7">
        <v>100</v>
      </c>
      <c r="E464" s="7" t="s">
        <v>423</v>
      </c>
      <c r="K464" s="7">
        <v>1</v>
      </c>
    </row>
    <row r="465" spans="1:11" x14ac:dyDescent="0.55000000000000004">
      <c r="A465" s="7">
        <v>15</v>
      </c>
      <c r="B465" s="7">
        <v>2</v>
      </c>
      <c r="C465" s="7">
        <f t="shared" si="19"/>
        <v>8</v>
      </c>
      <c r="D465" s="7">
        <v>100</v>
      </c>
      <c r="E465" s="7" t="s">
        <v>423</v>
      </c>
      <c r="K465" s="7">
        <v>1</v>
      </c>
    </row>
    <row r="466" spans="1:11" x14ac:dyDescent="0.55000000000000004">
      <c r="A466" s="7">
        <v>15</v>
      </c>
      <c r="B466" s="7">
        <v>2</v>
      </c>
      <c r="C466" s="7">
        <f t="shared" si="19"/>
        <v>9</v>
      </c>
      <c r="D466" s="7">
        <v>100</v>
      </c>
      <c r="E466" s="7" t="s">
        <v>423</v>
      </c>
      <c r="K466" s="7">
        <v>1</v>
      </c>
    </row>
    <row r="467" spans="1:11" x14ac:dyDescent="0.55000000000000004">
      <c r="A467" s="7">
        <v>15</v>
      </c>
      <c r="B467" s="7">
        <v>2</v>
      </c>
      <c r="C467" s="7">
        <f t="shared" si="19"/>
        <v>10</v>
      </c>
      <c r="D467" s="7">
        <v>100</v>
      </c>
      <c r="E467" s="7" t="s">
        <v>423</v>
      </c>
      <c r="K467" s="7">
        <v>1</v>
      </c>
    </row>
    <row r="468" spans="1:11" x14ac:dyDescent="0.55000000000000004">
      <c r="A468" s="7">
        <v>15</v>
      </c>
      <c r="B468" s="7">
        <v>2</v>
      </c>
      <c r="C468" s="7">
        <f t="shared" si="19"/>
        <v>11</v>
      </c>
      <c r="D468" s="7">
        <v>100</v>
      </c>
      <c r="E468" s="7" t="s">
        <v>423</v>
      </c>
      <c r="K468" s="7">
        <v>1</v>
      </c>
    </row>
    <row r="469" spans="1:11" x14ac:dyDescent="0.55000000000000004">
      <c r="A469" s="7">
        <v>15</v>
      </c>
      <c r="B469" s="7">
        <v>2</v>
      </c>
      <c r="C469" s="7">
        <f t="shared" si="19"/>
        <v>12</v>
      </c>
      <c r="D469" s="7">
        <v>100</v>
      </c>
      <c r="E469" s="7" t="s">
        <v>423</v>
      </c>
      <c r="K469" s="7">
        <v>1</v>
      </c>
    </row>
    <row r="470" spans="1:11" x14ac:dyDescent="0.55000000000000004">
      <c r="A470" s="7">
        <v>15</v>
      </c>
      <c r="B470" s="7">
        <v>2</v>
      </c>
      <c r="C470" s="7">
        <f t="shared" si="19"/>
        <v>13</v>
      </c>
      <c r="D470" s="7">
        <v>40</v>
      </c>
      <c r="E470" s="7" t="s">
        <v>422</v>
      </c>
      <c r="K470" s="7">
        <v>1</v>
      </c>
    </row>
    <row r="471" spans="1:11" x14ac:dyDescent="0.55000000000000004">
      <c r="A471" s="7">
        <v>15</v>
      </c>
      <c r="B471" s="7">
        <v>2</v>
      </c>
      <c r="C471" s="7">
        <f t="shared" si="19"/>
        <v>14</v>
      </c>
      <c r="D471" s="7">
        <v>40</v>
      </c>
      <c r="E471" s="7" t="s">
        <v>422</v>
      </c>
      <c r="K471" s="7">
        <v>1</v>
      </c>
    </row>
    <row r="472" spans="1:11" x14ac:dyDescent="0.55000000000000004">
      <c r="A472" s="7">
        <v>15</v>
      </c>
      <c r="B472" s="7">
        <v>2</v>
      </c>
      <c r="C472" s="7">
        <f t="shared" si="19"/>
        <v>15</v>
      </c>
      <c r="D472" s="7">
        <v>40</v>
      </c>
      <c r="E472" s="7" t="s">
        <v>422</v>
      </c>
      <c r="K472" s="7">
        <v>1</v>
      </c>
    </row>
    <row r="473" spans="1:11" x14ac:dyDescent="0.55000000000000004">
      <c r="A473" s="7">
        <v>15</v>
      </c>
      <c r="B473" s="7">
        <v>2</v>
      </c>
      <c r="C473" s="7">
        <f t="shared" si="19"/>
        <v>16</v>
      </c>
      <c r="D473" s="7">
        <v>40</v>
      </c>
      <c r="E473" s="7" t="s">
        <v>422</v>
      </c>
      <c r="K473" s="7">
        <v>1</v>
      </c>
    </row>
    <row r="474" spans="1:11" x14ac:dyDescent="0.55000000000000004">
      <c r="A474" s="7">
        <v>15</v>
      </c>
      <c r="B474" s="7">
        <v>2</v>
      </c>
      <c r="C474" s="7">
        <f t="shared" si="19"/>
        <v>17</v>
      </c>
      <c r="D474" s="7">
        <v>40</v>
      </c>
      <c r="E474" s="7" t="s">
        <v>422</v>
      </c>
      <c r="K474" s="7">
        <v>1</v>
      </c>
    </row>
    <row r="475" spans="1:11" x14ac:dyDescent="0.55000000000000004">
      <c r="A475" s="7">
        <v>15</v>
      </c>
      <c r="B475" s="7">
        <v>2</v>
      </c>
      <c r="C475" s="7">
        <f t="shared" si="19"/>
        <v>18</v>
      </c>
      <c r="D475" s="7">
        <v>40</v>
      </c>
      <c r="E475" s="7" t="s">
        <v>422</v>
      </c>
      <c r="K475" s="7">
        <v>1</v>
      </c>
    </row>
    <row r="476" spans="1:11" x14ac:dyDescent="0.55000000000000004">
      <c r="A476" s="7">
        <v>15</v>
      </c>
      <c r="B476" s="7">
        <v>2</v>
      </c>
      <c r="C476" s="7">
        <f t="shared" si="19"/>
        <v>19</v>
      </c>
      <c r="D476" s="7">
        <v>20</v>
      </c>
      <c r="E476" s="7" t="s">
        <v>421</v>
      </c>
      <c r="K476" s="7">
        <v>1</v>
      </c>
    </row>
    <row r="477" spans="1:11" x14ac:dyDescent="0.55000000000000004">
      <c r="A477" s="7">
        <v>15</v>
      </c>
      <c r="B477" s="7">
        <v>2</v>
      </c>
      <c r="C477" s="7">
        <f t="shared" si="19"/>
        <v>20</v>
      </c>
      <c r="D477" s="7">
        <v>20</v>
      </c>
      <c r="E477" s="7" t="s">
        <v>421</v>
      </c>
      <c r="K477" s="7">
        <v>1</v>
      </c>
    </row>
    <row r="478" spans="1:11" x14ac:dyDescent="0.55000000000000004">
      <c r="A478" s="7">
        <v>15</v>
      </c>
      <c r="B478" s="7">
        <v>2</v>
      </c>
      <c r="C478" s="7">
        <f>C477+1</f>
        <v>21</v>
      </c>
      <c r="D478" s="7">
        <v>20</v>
      </c>
      <c r="E478" s="7" t="s">
        <v>421</v>
      </c>
      <c r="K478" s="7">
        <v>1</v>
      </c>
    </row>
    <row r="479" spans="1:11" x14ac:dyDescent="0.55000000000000004">
      <c r="A479" s="7">
        <v>15</v>
      </c>
      <c r="B479" s="7">
        <v>2</v>
      </c>
      <c r="C479" s="7">
        <f t="shared" si="19"/>
        <v>22</v>
      </c>
      <c r="D479" s="7">
        <v>20</v>
      </c>
      <c r="E479" s="7" t="s">
        <v>421</v>
      </c>
      <c r="K479" s="7">
        <v>1</v>
      </c>
    </row>
    <row r="480" spans="1:11" x14ac:dyDescent="0.55000000000000004">
      <c r="A480" s="7">
        <v>15</v>
      </c>
      <c r="B480" s="7">
        <v>2</v>
      </c>
      <c r="C480" s="7">
        <f t="shared" si="19"/>
        <v>23</v>
      </c>
      <c r="D480" s="7">
        <v>20</v>
      </c>
      <c r="E480" s="7" t="s">
        <v>421</v>
      </c>
      <c r="K480" s="7">
        <v>1</v>
      </c>
    </row>
    <row r="481" spans="1:16" x14ac:dyDescent="0.55000000000000004">
      <c r="A481" s="7">
        <v>15</v>
      </c>
      <c r="B481" s="7">
        <v>2</v>
      </c>
      <c r="C481" s="7">
        <f>C480+1</f>
        <v>24</v>
      </c>
      <c r="D481" s="7">
        <v>20</v>
      </c>
      <c r="E481" s="7" t="s">
        <v>421</v>
      </c>
      <c r="K481" s="7">
        <v>1</v>
      </c>
    </row>
    <row r="482" spans="1:16" x14ac:dyDescent="0.55000000000000004">
      <c r="A482" s="7">
        <v>16</v>
      </c>
      <c r="B482" s="7">
        <v>1</v>
      </c>
      <c r="C482" s="7">
        <v>1</v>
      </c>
      <c r="D482" s="7">
        <v>1045.3</v>
      </c>
      <c r="E482" s="7" t="s">
        <v>425</v>
      </c>
      <c r="G482" s="7">
        <v>1</v>
      </c>
      <c r="I482" s="7">
        <v>1</v>
      </c>
      <c r="P482" s="7">
        <v>1</v>
      </c>
    </row>
    <row r="483" spans="1:16" x14ac:dyDescent="0.55000000000000004">
      <c r="A483" s="7">
        <v>16</v>
      </c>
      <c r="B483" s="7">
        <v>1</v>
      </c>
      <c r="C483" s="7">
        <f>C482+1</f>
        <v>2</v>
      </c>
      <c r="D483" s="7">
        <v>1000.2</v>
      </c>
      <c r="E483" s="7" t="s">
        <v>426</v>
      </c>
      <c r="G483" s="7">
        <v>1</v>
      </c>
      <c r="I483" s="7">
        <v>1</v>
      </c>
      <c r="P483" s="7">
        <v>1</v>
      </c>
    </row>
    <row r="484" spans="1:16" x14ac:dyDescent="0.55000000000000004">
      <c r="A484" s="7">
        <v>16</v>
      </c>
      <c r="B484" s="7">
        <v>1</v>
      </c>
      <c r="C484" s="7">
        <f t="shared" ref="C484:C504" si="20">C483+1</f>
        <v>3</v>
      </c>
      <c r="D484" s="7">
        <v>750.2</v>
      </c>
      <c r="E484" s="7" t="s">
        <v>427</v>
      </c>
      <c r="G484" s="7">
        <v>1</v>
      </c>
      <c r="I484" s="7">
        <v>1</v>
      </c>
      <c r="P484" s="7">
        <v>1</v>
      </c>
    </row>
    <row r="485" spans="1:16" x14ac:dyDescent="0.55000000000000004">
      <c r="A485" s="7">
        <v>16</v>
      </c>
      <c r="B485" s="7">
        <v>1</v>
      </c>
      <c r="C485" s="7">
        <f t="shared" si="20"/>
        <v>4</v>
      </c>
      <c r="D485" s="7">
        <v>500.5</v>
      </c>
      <c r="E485" s="7" t="s">
        <v>428</v>
      </c>
      <c r="G485" s="7">
        <v>1</v>
      </c>
      <c r="H485" s="7">
        <v>1</v>
      </c>
      <c r="I485" s="7">
        <v>1</v>
      </c>
      <c r="P485" s="7">
        <v>1</v>
      </c>
    </row>
    <row r="486" spans="1:16" x14ac:dyDescent="0.55000000000000004">
      <c r="A486" s="7">
        <v>16</v>
      </c>
      <c r="B486" s="7">
        <v>1</v>
      </c>
      <c r="C486" s="7">
        <f t="shared" si="20"/>
        <v>5</v>
      </c>
      <c r="D486" s="7">
        <v>300.8</v>
      </c>
      <c r="E486" s="7" t="s">
        <v>429</v>
      </c>
      <c r="G486" s="7">
        <v>1</v>
      </c>
      <c r="H486" s="7">
        <v>1</v>
      </c>
      <c r="I486" s="7">
        <v>1</v>
      </c>
      <c r="P486" s="7">
        <v>1</v>
      </c>
    </row>
    <row r="487" spans="1:16" x14ac:dyDescent="0.55000000000000004">
      <c r="A487" s="7">
        <v>16</v>
      </c>
      <c r="B487" s="7">
        <v>1</v>
      </c>
      <c r="C487" s="7">
        <f t="shared" si="20"/>
        <v>6</v>
      </c>
      <c r="D487" s="7">
        <v>250.4</v>
      </c>
      <c r="E487" s="7" t="s">
        <v>430</v>
      </c>
      <c r="G487" s="7">
        <v>1</v>
      </c>
      <c r="H487" s="7">
        <v>1</v>
      </c>
      <c r="I487" s="7">
        <v>1</v>
      </c>
      <c r="P487" s="7">
        <v>1</v>
      </c>
    </row>
    <row r="488" spans="1:16" x14ac:dyDescent="0.55000000000000004">
      <c r="A488" s="7">
        <v>16</v>
      </c>
      <c r="B488" s="7">
        <v>1</v>
      </c>
      <c r="C488" s="7">
        <f t="shared" si="20"/>
        <v>7</v>
      </c>
      <c r="D488" s="7">
        <v>199.8</v>
      </c>
      <c r="E488" s="7" t="s">
        <v>431</v>
      </c>
      <c r="G488" s="7">
        <v>1</v>
      </c>
      <c r="H488" s="7">
        <v>1</v>
      </c>
      <c r="I488" s="7">
        <v>1</v>
      </c>
      <c r="P488" s="7">
        <v>1</v>
      </c>
    </row>
    <row r="489" spans="1:16" x14ac:dyDescent="0.55000000000000004">
      <c r="A489" s="7">
        <v>16</v>
      </c>
      <c r="B489" s="7">
        <v>1</v>
      </c>
      <c r="C489" s="7">
        <f t="shared" si="20"/>
        <v>8</v>
      </c>
      <c r="D489" s="7">
        <v>175.2</v>
      </c>
      <c r="E489" s="7" t="s">
        <v>432</v>
      </c>
      <c r="G489" s="7">
        <v>1</v>
      </c>
      <c r="H489" s="7">
        <v>1</v>
      </c>
      <c r="I489" s="7">
        <v>1</v>
      </c>
      <c r="P489" s="7">
        <v>1</v>
      </c>
    </row>
    <row r="490" spans="1:16" x14ac:dyDescent="0.55000000000000004">
      <c r="A490" s="7">
        <v>16</v>
      </c>
      <c r="B490" s="7">
        <v>1</v>
      </c>
      <c r="C490" s="7">
        <f t="shared" si="20"/>
        <v>9</v>
      </c>
      <c r="D490" s="7">
        <v>150.1</v>
      </c>
      <c r="E490" s="7" t="s">
        <v>433</v>
      </c>
      <c r="G490" s="7">
        <v>1</v>
      </c>
      <c r="H490" s="7">
        <v>1</v>
      </c>
      <c r="I490" s="7">
        <v>1</v>
      </c>
      <c r="P490" s="7">
        <v>1</v>
      </c>
    </row>
    <row r="491" spans="1:16" x14ac:dyDescent="0.55000000000000004">
      <c r="A491" s="7">
        <v>16</v>
      </c>
      <c r="B491" s="7">
        <v>1</v>
      </c>
      <c r="C491" s="7">
        <f t="shared" si="20"/>
        <v>10</v>
      </c>
      <c r="D491" s="7">
        <v>129.69999999999999</v>
      </c>
      <c r="E491" s="7" t="s">
        <v>434</v>
      </c>
      <c r="G491" s="7">
        <v>1</v>
      </c>
      <c r="H491" s="7">
        <v>1</v>
      </c>
      <c r="I491" s="7">
        <v>1</v>
      </c>
      <c r="P491" s="7">
        <v>1</v>
      </c>
    </row>
    <row r="492" spans="1:16" x14ac:dyDescent="0.55000000000000004">
      <c r="A492" s="7">
        <v>16</v>
      </c>
      <c r="B492" s="7">
        <v>1</v>
      </c>
      <c r="C492" s="7">
        <f t="shared" si="20"/>
        <v>11</v>
      </c>
      <c r="D492" s="7">
        <v>115</v>
      </c>
      <c r="E492" s="7" t="s">
        <v>435</v>
      </c>
      <c r="G492" s="7">
        <v>1</v>
      </c>
      <c r="H492" s="7">
        <v>1</v>
      </c>
      <c r="I492" s="7">
        <v>1</v>
      </c>
      <c r="P492" s="7">
        <v>1</v>
      </c>
    </row>
    <row r="493" spans="1:16" x14ac:dyDescent="0.55000000000000004">
      <c r="A493" s="7">
        <v>16</v>
      </c>
      <c r="B493" s="7">
        <v>1</v>
      </c>
      <c r="C493" s="7">
        <f t="shared" si="20"/>
        <v>12</v>
      </c>
      <c r="D493" s="7">
        <v>100.7</v>
      </c>
      <c r="E493" s="7" t="s">
        <v>436</v>
      </c>
      <c r="G493" s="7">
        <v>1</v>
      </c>
      <c r="H493" s="7">
        <v>1</v>
      </c>
      <c r="I493" s="7">
        <v>1</v>
      </c>
      <c r="P493" s="7">
        <v>1</v>
      </c>
    </row>
    <row r="494" spans="1:16" x14ac:dyDescent="0.55000000000000004">
      <c r="A494" s="7">
        <v>16</v>
      </c>
      <c r="B494" s="7">
        <v>1</v>
      </c>
      <c r="C494" s="7">
        <f t="shared" si="20"/>
        <v>13</v>
      </c>
      <c r="D494" s="7">
        <v>84.9</v>
      </c>
      <c r="E494" s="7" t="s">
        <v>437</v>
      </c>
      <c r="G494" s="7">
        <v>1</v>
      </c>
      <c r="H494" s="7">
        <v>1</v>
      </c>
      <c r="I494" s="7">
        <v>1</v>
      </c>
      <c r="P494" s="7">
        <v>1</v>
      </c>
    </row>
    <row r="495" spans="1:16" x14ac:dyDescent="0.55000000000000004">
      <c r="A495" s="7">
        <v>16</v>
      </c>
      <c r="B495" s="7">
        <v>1</v>
      </c>
      <c r="C495" s="7">
        <f t="shared" si="20"/>
        <v>14</v>
      </c>
      <c r="D495" s="7">
        <v>70.3</v>
      </c>
      <c r="E495" s="7" t="s">
        <v>438</v>
      </c>
      <c r="G495" s="7">
        <v>1</v>
      </c>
      <c r="H495" s="7">
        <v>1</v>
      </c>
      <c r="I495" s="7">
        <v>1</v>
      </c>
      <c r="P495" s="7">
        <v>1</v>
      </c>
    </row>
    <row r="496" spans="1:16" x14ac:dyDescent="0.55000000000000004">
      <c r="A496" s="7">
        <v>16</v>
      </c>
      <c r="B496" s="7">
        <v>1</v>
      </c>
      <c r="C496" s="7">
        <f t="shared" si="20"/>
        <v>15</v>
      </c>
      <c r="D496" s="7">
        <v>55.1</v>
      </c>
      <c r="E496" s="7" t="s">
        <v>439</v>
      </c>
      <c r="G496" s="7">
        <v>1</v>
      </c>
      <c r="H496" s="7">
        <v>1</v>
      </c>
      <c r="I496" s="7">
        <v>1</v>
      </c>
      <c r="J496" s="7">
        <v>1</v>
      </c>
      <c r="P496" s="7">
        <v>1</v>
      </c>
    </row>
    <row r="497" spans="1:18" x14ac:dyDescent="0.55000000000000004">
      <c r="A497" s="7">
        <v>16</v>
      </c>
      <c r="B497" s="7">
        <v>1</v>
      </c>
      <c r="C497" s="7">
        <f t="shared" si="20"/>
        <v>16</v>
      </c>
      <c r="D497" s="7">
        <v>40.299999999999997</v>
      </c>
      <c r="E497" s="7" t="s">
        <v>440</v>
      </c>
      <c r="G497" s="7">
        <v>1</v>
      </c>
      <c r="H497" s="7">
        <v>1</v>
      </c>
      <c r="I497" s="7">
        <v>1</v>
      </c>
      <c r="J497" s="7">
        <v>1</v>
      </c>
      <c r="P497" s="7">
        <v>1</v>
      </c>
    </row>
    <row r="498" spans="1:18" x14ac:dyDescent="0.55000000000000004">
      <c r="A498" s="7">
        <v>16</v>
      </c>
      <c r="B498" s="7">
        <v>1</v>
      </c>
      <c r="C498" s="7">
        <f t="shared" si="20"/>
        <v>17</v>
      </c>
      <c r="D498" s="7">
        <v>40.299999999999997</v>
      </c>
      <c r="E498" s="7" t="s">
        <v>440</v>
      </c>
    </row>
    <row r="499" spans="1:18" x14ac:dyDescent="0.55000000000000004">
      <c r="A499" s="7">
        <v>16</v>
      </c>
      <c r="B499" s="7">
        <v>1</v>
      </c>
      <c r="C499" s="7">
        <f t="shared" si="20"/>
        <v>18</v>
      </c>
      <c r="D499" s="7">
        <v>29.8</v>
      </c>
      <c r="E499" s="7" t="s">
        <v>441</v>
      </c>
      <c r="G499" s="7">
        <v>1</v>
      </c>
      <c r="H499" s="7">
        <v>1</v>
      </c>
      <c r="I499" s="7">
        <v>1</v>
      </c>
      <c r="J499" s="7">
        <v>1</v>
      </c>
      <c r="P499" s="7">
        <v>1</v>
      </c>
    </row>
    <row r="500" spans="1:18" x14ac:dyDescent="0.55000000000000004">
      <c r="A500" s="7">
        <v>16</v>
      </c>
      <c r="B500" s="7">
        <v>1</v>
      </c>
      <c r="C500" s="7">
        <f t="shared" si="20"/>
        <v>19</v>
      </c>
      <c r="D500" s="7">
        <v>20.3</v>
      </c>
      <c r="E500" s="7" t="s">
        <v>442</v>
      </c>
      <c r="G500" s="7">
        <v>1</v>
      </c>
      <c r="H500" s="7">
        <v>1</v>
      </c>
      <c r="I500" s="7">
        <v>1</v>
      </c>
      <c r="J500" s="7">
        <v>1</v>
      </c>
      <c r="P500" s="7">
        <v>1</v>
      </c>
    </row>
    <row r="501" spans="1:18" x14ac:dyDescent="0.55000000000000004">
      <c r="A501" s="7">
        <v>16</v>
      </c>
      <c r="B501" s="7">
        <v>1</v>
      </c>
      <c r="C501" s="7">
        <f>C500+1</f>
        <v>20</v>
      </c>
      <c r="D501" s="7">
        <v>10.199999999999999</v>
      </c>
      <c r="E501" s="7" t="s">
        <v>443</v>
      </c>
      <c r="G501" s="7">
        <v>1</v>
      </c>
      <c r="H501" s="7">
        <v>1</v>
      </c>
      <c r="I501" s="7">
        <v>1</v>
      </c>
      <c r="J501" s="7">
        <v>1</v>
      </c>
      <c r="P501" s="7">
        <v>1</v>
      </c>
    </row>
    <row r="502" spans="1:18" x14ac:dyDescent="0.55000000000000004">
      <c r="A502" s="7">
        <v>16</v>
      </c>
      <c r="B502" s="7">
        <v>1</v>
      </c>
      <c r="C502" s="7">
        <f t="shared" si="20"/>
        <v>21</v>
      </c>
      <c r="D502" s="7">
        <v>3.3</v>
      </c>
      <c r="E502" s="7" t="s">
        <v>444</v>
      </c>
    </row>
    <row r="503" spans="1:18" x14ac:dyDescent="0.55000000000000004">
      <c r="A503" s="7">
        <v>16</v>
      </c>
      <c r="B503" s="7">
        <v>1</v>
      </c>
      <c r="C503" s="7">
        <f t="shared" si="20"/>
        <v>22</v>
      </c>
      <c r="D503" s="7">
        <v>3.3</v>
      </c>
      <c r="E503" s="7" t="s">
        <v>444</v>
      </c>
    </row>
    <row r="504" spans="1:18" x14ac:dyDescent="0.55000000000000004">
      <c r="A504" s="7">
        <v>16</v>
      </c>
      <c r="B504" s="7">
        <v>1</v>
      </c>
      <c r="C504" s="7">
        <f t="shared" si="20"/>
        <v>23</v>
      </c>
      <c r="D504" s="7">
        <v>3.3</v>
      </c>
      <c r="E504" s="7" t="s">
        <v>444</v>
      </c>
    </row>
    <row r="505" spans="1:18" x14ac:dyDescent="0.55000000000000004">
      <c r="A505" s="7">
        <v>16</v>
      </c>
      <c r="B505" s="7">
        <v>1</v>
      </c>
      <c r="C505" s="7">
        <f>C504+1</f>
        <v>24</v>
      </c>
      <c r="D505" s="7">
        <v>3.3</v>
      </c>
      <c r="E505" s="7" t="s">
        <v>444</v>
      </c>
      <c r="G505" s="7">
        <v>1</v>
      </c>
      <c r="H505" s="7">
        <v>1</v>
      </c>
      <c r="I505" s="7">
        <v>1</v>
      </c>
      <c r="J505" s="7">
        <v>1</v>
      </c>
      <c r="P505" s="7">
        <v>1</v>
      </c>
      <c r="Q505" s="7">
        <v>1</v>
      </c>
      <c r="R505" s="7">
        <v>1</v>
      </c>
    </row>
    <row r="506" spans="1:18" x14ac:dyDescent="0.55000000000000004">
      <c r="A506" s="7">
        <v>17</v>
      </c>
      <c r="B506" s="7">
        <v>1</v>
      </c>
      <c r="C506" s="7">
        <v>1</v>
      </c>
      <c r="D506" s="7">
        <v>1226</v>
      </c>
      <c r="E506" s="7" t="s">
        <v>445</v>
      </c>
      <c r="G506" s="7">
        <v>1</v>
      </c>
      <c r="I506" s="7">
        <v>1</v>
      </c>
    </row>
    <row r="507" spans="1:18" x14ac:dyDescent="0.55000000000000004">
      <c r="A507" s="7">
        <v>17</v>
      </c>
      <c r="B507" s="7">
        <v>1</v>
      </c>
      <c r="C507" s="7">
        <f>C506+1</f>
        <v>2</v>
      </c>
      <c r="D507" s="7">
        <v>1226</v>
      </c>
      <c r="E507" s="7" t="s">
        <v>445</v>
      </c>
    </row>
    <row r="508" spans="1:18" x14ac:dyDescent="0.55000000000000004">
      <c r="A508" s="7">
        <v>17</v>
      </c>
      <c r="B508" s="7">
        <v>1</v>
      </c>
      <c r="C508" s="7">
        <f t="shared" ref="C508:C529" si="21">C507+1</f>
        <v>3</v>
      </c>
      <c r="D508" s="7">
        <v>1000</v>
      </c>
      <c r="E508" s="7" t="s">
        <v>446</v>
      </c>
      <c r="G508" s="7">
        <v>1</v>
      </c>
      <c r="I508" s="7">
        <v>1</v>
      </c>
    </row>
    <row r="509" spans="1:18" x14ac:dyDescent="0.55000000000000004">
      <c r="A509" s="7">
        <v>17</v>
      </c>
      <c r="B509" s="7">
        <v>1</v>
      </c>
      <c r="C509" s="7">
        <f t="shared" si="21"/>
        <v>4</v>
      </c>
      <c r="D509" s="7">
        <v>1000</v>
      </c>
      <c r="E509" s="7" t="s">
        <v>446</v>
      </c>
    </row>
    <row r="510" spans="1:18" x14ac:dyDescent="0.55000000000000004">
      <c r="A510" s="7">
        <v>17</v>
      </c>
      <c r="B510" s="7">
        <v>1</v>
      </c>
      <c r="C510" s="7">
        <f t="shared" si="21"/>
        <v>5</v>
      </c>
      <c r="D510" s="7">
        <v>745</v>
      </c>
      <c r="E510" s="7" t="s">
        <v>447</v>
      </c>
      <c r="G510" s="7">
        <v>1</v>
      </c>
      <c r="I510" s="7">
        <v>1</v>
      </c>
    </row>
    <row r="511" spans="1:18" x14ac:dyDescent="0.55000000000000004">
      <c r="A511" s="7">
        <v>17</v>
      </c>
      <c r="B511" s="7">
        <v>1</v>
      </c>
      <c r="C511" s="7">
        <f t="shared" si="21"/>
        <v>6</v>
      </c>
      <c r="D511" s="7">
        <v>500</v>
      </c>
      <c r="E511" s="7" t="s">
        <v>448</v>
      </c>
      <c r="G511" s="7">
        <v>1</v>
      </c>
      <c r="H511" s="7">
        <v>1</v>
      </c>
      <c r="I511" s="7">
        <v>1</v>
      </c>
      <c r="P511" s="7">
        <v>1</v>
      </c>
    </row>
    <row r="512" spans="1:18" x14ac:dyDescent="0.55000000000000004">
      <c r="A512" s="7">
        <v>17</v>
      </c>
      <c r="B512" s="7">
        <v>1</v>
      </c>
      <c r="C512" s="7">
        <f t="shared" si="21"/>
        <v>7</v>
      </c>
      <c r="D512" s="7">
        <v>300</v>
      </c>
      <c r="E512" s="7" t="s">
        <v>449</v>
      </c>
      <c r="G512" s="7">
        <v>1</v>
      </c>
      <c r="H512" s="7">
        <v>1</v>
      </c>
      <c r="I512" s="7">
        <v>1</v>
      </c>
      <c r="P512" s="7">
        <v>1</v>
      </c>
    </row>
    <row r="513" spans="1:16" x14ac:dyDescent="0.55000000000000004">
      <c r="A513" s="7">
        <v>17</v>
      </c>
      <c r="B513" s="7">
        <v>1</v>
      </c>
      <c r="C513" s="7">
        <f t="shared" si="21"/>
        <v>8</v>
      </c>
      <c r="D513" s="7">
        <v>250</v>
      </c>
      <c r="E513" s="7" t="s">
        <v>450</v>
      </c>
      <c r="G513" s="7">
        <v>1</v>
      </c>
      <c r="H513" s="7">
        <v>1</v>
      </c>
      <c r="I513" s="7">
        <v>1</v>
      </c>
      <c r="P513" s="7">
        <v>1</v>
      </c>
    </row>
    <row r="514" spans="1:16" x14ac:dyDescent="0.55000000000000004">
      <c r="A514" s="7">
        <v>17</v>
      </c>
      <c r="B514" s="7">
        <v>1</v>
      </c>
      <c r="C514" s="7">
        <f t="shared" si="21"/>
        <v>9</v>
      </c>
      <c r="D514" s="7">
        <v>200</v>
      </c>
      <c r="E514" s="7" t="s">
        <v>451</v>
      </c>
      <c r="G514" s="7">
        <v>1</v>
      </c>
      <c r="H514" s="7">
        <v>1</v>
      </c>
      <c r="I514" s="7">
        <v>1</v>
      </c>
      <c r="P514" s="7">
        <v>1</v>
      </c>
    </row>
    <row r="515" spans="1:16" x14ac:dyDescent="0.55000000000000004">
      <c r="A515" s="7">
        <v>17</v>
      </c>
      <c r="B515" s="7">
        <v>1</v>
      </c>
      <c r="C515" s="7">
        <f t="shared" si="21"/>
        <v>10</v>
      </c>
      <c r="D515" s="7">
        <v>175</v>
      </c>
      <c r="E515" s="7" t="s">
        <v>452</v>
      </c>
      <c r="G515" s="7">
        <v>1</v>
      </c>
      <c r="H515" s="7">
        <v>1</v>
      </c>
      <c r="I515" s="7">
        <v>1</v>
      </c>
      <c r="P515" s="7">
        <v>1</v>
      </c>
    </row>
    <row r="516" spans="1:16" x14ac:dyDescent="0.55000000000000004">
      <c r="A516" s="7">
        <v>17</v>
      </c>
      <c r="B516" s="7">
        <v>1</v>
      </c>
      <c r="C516" s="7">
        <f t="shared" si="21"/>
        <v>11</v>
      </c>
      <c r="D516" s="7">
        <v>150</v>
      </c>
      <c r="E516" s="7" t="s">
        <v>453</v>
      </c>
      <c r="G516" s="7">
        <v>1</v>
      </c>
      <c r="H516" s="7">
        <v>1</v>
      </c>
      <c r="I516" s="7">
        <v>1</v>
      </c>
      <c r="P516" s="7">
        <v>1</v>
      </c>
    </row>
    <row r="517" spans="1:16" x14ac:dyDescent="0.55000000000000004">
      <c r="A517" s="7">
        <v>17</v>
      </c>
      <c r="B517" s="7">
        <v>1</v>
      </c>
      <c r="C517" s="7">
        <f t="shared" si="21"/>
        <v>12</v>
      </c>
      <c r="D517" s="7">
        <v>130</v>
      </c>
      <c r="E517" s="7" t="s">
        <v>454</v>
      </c>
      <c r="G517" s="7">
        <v>1</v>
      </c>
      <c r="H517" s="7">
        <v>1</v>
      </c>
      <c r="I517" s="7">
        <v>1</v>
      </c>
      <c r="P517" s="7">
        <v>1</v>
      </c>
    </row>
    <row r="518" spans="1:16" x14ac:dyDescent="0.55000000000000004">
      <c r="A518" s="7">
        <v>17</v>
      </c>
      <c r="B518" s="7">
        <v>1</v>
      </c>
      <c r="C518" s="7">
        <f t="shared" si="21"/>
        <v>13</v>
      </c>
      <c r="D518" s="7">
        <v>115</v>
      </c>
      <c r="E518" s="7" t="s">
        <v>455</v>
      </c>
      <c r="G518" s="7">
        <v>1</v>
      </c>
      <c r="H518" s="7">
        <v>1</v>
      </c>
      <c r="I518" s="7">
        <v>1</v>
      </c>
      <c r="P518" s="7">
        <v>1</v>
      </c>
    </row>
    <row r="519" spans="1:16" x14ac:dyDescent="0.55000000000000004">
      <c r="A519" s="7">
        <v>17</v>
      </c>
      <c r="B519" s="7">
        <v>1</v>
      </c>
      <c r="C519" s="7">
        <f t="shared" si="21"/>
        <v>14</v>
      </c>
      <c r="D519" s="7">
        <v>100</v>
      </c>
      <c r="E519" s="7" t="s">
        <v>456</v>
      </c>
      <c r="G519" s="7">
        <v>1</v>
      </c>
      <c r="H519" s="7">
        <v>1</v>
      </c>
      <c r="I519" s="7">
        <v>1</v>
      </c>
      <c r="P519" s="7">
        <v>1</v>
      </c>
    </row>
    <row r="520" spans="1:16" x14ac:dyDescent="0.55000000000000004">
      <c r="A520" s="7">
        <v>17</v>
      </c>
      <c r="B520" s="7">
        <v>1</v>
      </c>
      <c r="C520" s="7">
        <f t="shared" si="21"/>
        <v>15</v>
      </c>
      <c r="D520" s="7">
        <v>77.5</v>
      </c>
      <c r="E520" s="7" t="s">
        <v>457</v>
      </c>
      <c r="G520" s="7">
        <v>1</v>
      </c>
      <c r="H520" s="7">
        <v>1</v>
      </c>
      <c r="I520" s="7">
        <v>1</v>
      </c>
      <c r="P520" s="7">
        <v>1</v>
      </c>
    </row>
    <row r="521" spans="1:16" x14ac:dyDescent="0.55000000000000004">
      <c r="A521" s="7">
        <v>17</v>
      </c>
      <c r="B521" s="7">
        <v>1</v>
      </c>
      <c r="C521" s="7">
        <f t="shared" si="21"/>
        <v>16</v>
      </c>
      <c r="D521" s="7">
        <v>70</v>
      </c>
      <c r="E521" s="7" t="s">
        <v>458</v>
      </c>
      <c r="G521" s="7">
        <v>1</v>
      </c>
      <c r="H521" s="7">
        <v>1</v>
      </c>
      <c r="I521" s="7">
        <v>1</v>
      </c>
      <c r="P521" s="7">
        <v>1</v>
      </c>
    </row>
    <row r="522" spans="1:16" x14ac:dyDescent="0.55000000000000004">
      <c r="A522" s="7">
        <v>17</v>
      </c>
      <c r="B522" s="7">
        <v>1</v>
      </c>
      <c r="C522" s="7">
        <f t="shared" si="21"/>
        <v>17</v>
      </c>
      <c r="D522" s="7">
        <v>54.7</v>
      </c>
      <c r="E522" s="7" t="s">
        <v>459</v>
      </c>
      <c r="G522" s="7">
        <v>1</v>
      </c>
      <c r="H522" s="7">
        <v>1</v>
      </c>
      <c r="I522" s="7">
        <v>1</v>
      </c>
      <c r="J522" s="7">
        <v>1</v>
      </c>
      <c r="P522" s="7">
        <v>1</v>
      </c>
    </row>
    <row r="523" spans="1:16" x14ac:dyDescent="0.55000000000000004">
      <c r="A523" s="7">
        <v>17</v>
      </c>
      <c r="B523" s="7">
        <v>1</v>
      </c>
      <c r="C523" s="7">
        <f t="shared" si="21"/>
        <v>18</v>
      </c>
      <c r="D523" s="7">
        <v>39.9</v>
      </c>
      <c r="E523" s="7" t="s">
        <v>460</v>
      </c>
      <c r="G523" s="7">
        <v>1</v>
      </c>
      <c r="H523" s="7">
        <v>1</v>
      </c>
      <c r="I523" s="7">
        <v>1</v>
      </c>
      <c r="J523" s="7">
        <v>1</v>
      </c>
      <c r="P523" s="7">
        <v>1</v>
      </c>
    </row>
    <row r="524" spans="1:16" x14ac:dyDescent="0.55000000000000004">
      <c r="A524" s="7">
        <v>17</v>
      </c>
      <c r="B524" s="7">
        <v>1</v>
      </c>
      <c r="C524" s="7">
        <f t="shared" si="21"/>
        <v>19</v>
      </c>
      <c r="D524" s="7">
        <v>39.9</v>
      </c>
      <c r="E524" s="7" t="s">
        <v>460</v>
      </c>
      <c r="G524" s="7">
        <v>1</v>
      </c>
      <c r="H524" s="7">
        <v>1</v>
      </c>
      <c r="I524" s="7">
        <v>1</v>
      </c>
    </row>
    <row r="525" spans="1:16" x14ac:dyDescent="0.55000000000000004">
      <c r="A525" s="7">
        <v>17</v>
      </c>
      <c r="B525" s="7">
        <v>1</v>
      </c>
      <c r="C525" s="7">
        <f t="shared" si="21"/>
        <v>20</v>
      </c>
      <c r="D525" s="7">
        <v>30</v>
      </c>
      <c r="E525" s="7" t="s">
        <v>461</v>
      </c>
      <c r="G525" s="7">
        <v>1</v>
      </c>
      <c r="H525" s="7">
        <v>1</v>
      </c>
      <c r="I525" s="7">
        <v>1</v>
      </c>
      <c r="J525" s="7">
        <v>1</v>
      </c>
      <c r="P525" s="7">
        <v>1</v>
      </c>
    </row>
    <row r="526" spans="1:16" x14ac:dyDescent="0.55000000000000004">
      <c r="A526" s="7">
        <v>17</v>
      </c>
      <c r="B526" s="7">
        <v>1</v>
      </c>
      <c r="C526" s="7">
        <f t="shared" si="21"/>
        <v>21</v>
      </c>
      <c r="D526" s="7">
        <v>19.899999999999999</v>
      </c>
      <c r="E526" s="7" t="s">
        <v>462</v>
      </c>
      <c r="G526" s="7">
        <v>1</v>
      </c>
      <c r="H526" s="7">
        <v>1</v>
      </c>
      <c r="I526" s="7">
        <v>1</v>
      </c>
      <c r="J526" s="7">
        <v>1</v>
      </c>
      <c r="P526" s="7">
        <v>1</v>
      </c>
    </row>
    <row r="527" spans="1:16" x14ac:dyDescent="0.55000000000000004">
      <c r="A527" s="7">
        <v>17</v>
      </c>
      <c r="B527" s="7">
        <v>1</v>
      </c>
      <c r="C527" s="7">
        <f t="shared" si="21"/>
        <v>22</v>
      </c>
      <c r="D527" s="7">
        <v>10.199999999999999</v>
      </c>
      <c r="E527" s="7" t="s">
        <v>463</v>
      </c>
      <c r="F527" s="7">
        <v>1</v>
      </c>
      <c r="G527" s="7">
        <v>1</v>
      </c>
      <c r="H527" s="7">
        <v>1</v>
      </c>
      <c r="I527" s="7">
        <v>1</v>
      </c>
      <c r="J527" s="7">
        <v>1</v>
      </c>
      <c r="P527" s="7">
        <v>1</v>
      </c>
    </row>
    <row r="528" spans="1:16" x14ac:dyDescent="0.55000000000000004">
      <c r="A528" s="7">
        <v>17</v>
      </c>
      <c r="B528" s="7">
        <v>1</v>
      </c>
      <c r="C528" s="7">
        <f t="shared" si="21"/>
        <v>23</v>
      </c>
      <c r="D528" s="7">
        <v>2.5</v>
      </c>
      <c r="E528" s="7" t="s">
        <v>464</v>
      </c>
    </row>
    <row r="529" spans="1:18" x14ac:dyDescent="0.55000000000000004">
      <c r="A529" s="7">
        <v>17</v>
      </c>
      <c r="B529" s="7">
        <v>1</v>
      </c>
      <c r="C529" s="7">
        <f t="shared" si="21"/>
        <v>24</v>
      </c>
      <c r="D529" s="7">
        <v>2.5</v>
      </c>
      <c r="E529" s="7" t="s">
        <v>464</v>
      </c>
      <c r="G529" s="7">
        <v>1</v>
      </c>
      <c r="H529" s="7">
        <v>1</v>
      </c>
      <c r="I529" s="7">
        <v>1</v>
      </c>
      <c r="J529" s="7">
        <v>1</v>
      </c>
      <c r="P529" s="7">
        <v>1</v>
      </c>
      <c r="Q529" s="7">
        <v>1</v>
      </c>
      <c r="R529" s="7">
        <v>1</v>
      </c>
    </row>
    <row r="530" spans="1:18" x14ac:dyDescent="0.55000000000000004">
      <c r="A530" s="7">
        <v>18</v>
      </c>
      <c r="B530" s="7">
        <v>1</v>
      </c>
      <c r="C530" s="7">
        <v>1</v>
      </c>
      <c r="D530" s="7">
        <v>1200.7</v>
      </c>
      <c r="E530" s="7" t="s">
        <v>469</v>
      </c>
      <c r="G530" s="7">
        <v>1</v>
      </c>
      <c r="I530" s="7">
        <v>1</v>
      </c>
    </row>
    <row r="531" spans="1:18" x14ac:dyDescent="0.55000000000000004">
      <c r="A531" s="7">
        <v>18</v>
      </c>
      <c r="B531" s="7">
        <v>1</v>
      </c>
      <c r="C531" s="7">
        <f>C530+1</f>
        <v>2</v>
      </c>
      <c r="D531" s="7">
        <v>1200.7</v>
      </c>
      <c r="E531" s="7" t="s">
        <v>469</v>
      </c>
      <c r="I531" s="7">
        <v>1</v>
      </c>
    </row>
    <row r="532" spans="1:18" x14ac:dyDescent="0.55000000000000004">
      <c r="A532" s="7">
        <v>18</v>
      </c>
      <c r="B532" s="7">
        <v>1</v>
      </c>
      <c r="C532" s="7">
        <f t="shared" ref="C532:C552" si="22">C531+1</f>
        <v>3</v>
      </c>
      <c r="D532" s="7">
        <v>1000.3</v>
      </c>
      <c r="E532" s="7" t="s">
        <v>470</v>
      </c>
      <c r="G532" s="7">
        <v>1</v>
      </c>
      <c r="I532" s="7">
        <v>1</v>
      </c>
    </row>
    <row r="533" spans="1:18" x14ac:dyDescent="0.55000000000000004">
      <c r="A533" s="7">
        <v>18</v>
      </c>
      <c r="B533" s="7">
        <v>1</v>
      </c>
      <c r="C533" s="7">
        <f t="shared" si="22"/>
        <v>4</v>
      </c>
      <c r="D533" s="7">
        <v>750.1</v>
      </c>
      <c r="E533" s="7" t="s">
        <v>471</v>
      </c>
      <c r="G533" s="7">
        <v>1</v>
      </c>
      <c r="I533" s="7">
        <v>1</v>
      </c>
    </row>
    <row r="534" spans="1:18" x14ac:dyDescent="0.55000000000000004">
      <c r="A534" s="7">
        <v>18</v>
      </c>
      <c r="B534" s="7">
        <v>1</v>
      </c>
      <c r="C534" s="7">
        <f t="shared" si="22"/>
        <v>5</v>
      </c>
      <c r="D534" s="7">
        <v>500.8</v>
      </c>
      <c r="E534" s="7" t="s">
        <v>472</v>
      </c>
      <c r="G534" s="7">
        <v>1</v>
      </c>
      <c r="H534" s="7">
        <v>1</v>
      </c>
      <c r="I534" s="7">
        <v>1</v>
      </c>
      <c r="P534" s="7">
        <v>1</v>
      </c>
    </row>
    <row r="535" spans="1:18" x14ac:dyDescent="0.55000000000000004">
      <c r="A535" s="7">
        <v>18</v>
      </c>
      <c r="B535" s="7">
        <v>1</v>
      </c>
      <c r="C535" s="7">
        <f t="shared" si="22"/>
        <v>6</v>
      </c>
      <c r="D535" s="7">
        <v>299.8</v>
      </c>
      <c r="E535" s="7" t="s">
        <v>473</v>
      </c>
      <c r="G535" s="7">
        <v>1</v>
      </c>
      <c r="H535" s="7">
        <v>1</v>
      </c>
      <c r="I535" s="7">
        <v>1</v>
      </c>
      <c r="P535" s="7">
        <v>1</v>
      </c>
    </row>
    <row r="536" spans="1:18" x14ac:dyDescent="0.55000000000000004">
      <c r="A536" s="7">
        <v>18</v>
      </c>
      <c r="B536" s="7">
        <v>1</v>
      </c>
      <c r="C536" s="7">
        <f t="shared" si="22"/>
        <v>7</v>
      </c>
      <c r="D536" s="7">
        <v>250.8</v>
      </c>
      <c r="E536" s="7" t="s">
        <v>474</v>
      </c>
      <c r="G536" s="7">
        <v>1</v>
      </c>
      <c r="H536" s="7">
        <v>1</v>
      </c>
      <c r="I536" s="7">
        <v>1</v>
      </c>
      <c r="P536" s="7">
        <v>1</v>
      </c>
    </row>
    <row r="537" spans="1:18" x14ac:dyDescent="0.55000000000000004">
      <c r="A537" s="7">
        <v>18</v>
      </c>
      <c r="B537" s="7">
        <v>1</v>
      </c>
      <c r="C537" s="7">
        <f t="shared" si="22"/>
        <v>8</v>
      </c>
      <c r="D537" s="7">
        <v>200.5</v>
      </c>
      <c r="E537" s="7" t="s">
        <v>475</v>
      </c>
      <c r="G537" s="7">
        <v>1</v>
      </c>
      <c r="H537" s="7">
        <v>1</v>
      </c>
      <c r="I537" s="7">
        <v>1</v>
      </c>
      <c r="P537" s="7">
        <v>1</v>
      </c>
    </row>
    <row r="538" spans="1:18" x14ac:dyDescent="0.55000000000000004">
      <c r="A538" s="7">
        <v>18</v>
      </c>
      <c r="B538" s="7">
        <v>1</v>
      </c>
      <c r="C538" s="7">
        <f t="shared" si="22"/>
        <v>9</v>
      </c>
      <c r="D538" s="7">
        <v>174.1</v>
      </c>
      <c r="E538" s="7" t="s">
        <v>476</v>
      </c>
      <c r="G538" s="7">
        <v>1</v>
      </c>
      <c r="H538" s="7">
        <v>1</v>
      </c>
      <c r="I538" s="7">
        <v>1</v>
      </c>
      <c r="P538" s="7">
        <v>1</v>
      </c>
    </row>
    <row r="539" spans="1:18" x14ac:dyDescent="0.55000000000000004">
      <c r="A539" s="7">
        <v>18</v>
      </c>
      <c r="B539" s="7">
        <v>1</v>
      </c>
      <c r="C539" s="7">
        <f t="shared" si="22"/>
        <v>10</v>
      </c>
      <c r="D539" s="7">
        <v>151.69999999999999</v>
      </c>
      <c r="E539" s="7" t="s">
        <v>477</v>
      </c>
      <c r="G539" s="7">
        <v>1</v>
      </c>
      <c r="H539" s="7">
        <v>1</v>
      </c>
      <c r="I539" s="7">
        <v>1</v>
      </c>
      <c r="P539" s="7">
        <v>1</v>
      </c>
    </row>
    <row r="540" spans="1:18" x14ac:dyDescent="0.55000000000000004">
      <c r="A540" s="7">
        <v>18</v>
      </c>
      <c r="B540" s="7">
        <v>1</v>
      </c>
      <c r="C540" s="7">
        <f t="shared" si="22"/>
        <v>11</v>
      </c>
      <c r="D540" s="7">
        <v>130.30000000000001</v>
      </c>
      <c r="E540" s="7" t="s">
        <v>478</v>
      </c>
      <c r="G540" s="7">
        <v>1</v>
      </c>
      <c r="H540" s="7">
        <v>1</v>
      </c>
      <c r="I540" s="7">
        <v>1</v>
      </c>
      <c r="P540" s="7">
        <v>1</v>
      </c>
    </row>
    <row r="541" spans="1:18" x14ac:dyDescent="0.55000000000000004">
      <c r="A541" s="7">
        <v>18</v>
      </c>
      <c r="B541" s="7">
        <v>1</v>
      </c>
      <c r="C541" s="7">
        <f t="shared" si="22"/>
        <v>12</v>
      </c>
      <c r="D541" s="7">
        <v>115.3</v>
      </c>
      <c r="E541" s="7" t="s">
        <v>479</v>
      </c>
      <c r="G541" s="7">
        <v>1</v>
      </c>
      <c r="H541" s="7">
        <v>1</v>
      </c>
      <c r="I541" s="7">
        <v>1</v>
      </c>
      <c r="P541" s="7">
        <v>1</v>
      </c>
    </row>
    <row r="542" spans="1:18" x14ac:dyDescent="0.55000000000000004">
      <c r="A542" s="7">
        <v>18</v>
      </c>
      <c r="B542" s="7">
        <v>1</v>
      </c>
      <c r="C542" s="7">
        <f t="shared" si="22"/>
        <v>13</v>
      </c>
      <c r="D542" s="7">
        <v>99.5</v>
      </c>
      <c r="E542" s="7" t="s">
        <v>480</v>
      </c>
      <c r="G542" s="7">
        <v>1</v>
      </c>
      <c r="H542" s="7">
        <v>1</v>
      </c>
      <c r="I542" s="7">
        <v>1</v>
      </c>
      <c r="P542" s="7">
        <v>1</v>
      </c>
    </row>
    <row r="543" spans="1:18" x14ac:dyDescent="0.55000000000000004">
      <c r="A543" s="7">
        <v>18</v>
      </c>
      <c r="B543" s="7">
        <v>1</v>
      </c>
      <c r="C543" s="7">
        <f t="shared" si="22"/>
        <v>14</v>
      </c>
      <c r="D543" s="7">
        <v>85</v>
      </c>
      <c r="E543" s="7" t="s">
        <v>481</v>
      </c>
      <c r="G543" s="7">
        <v>1</v>
      </c>
      <c r="H543" s="7">
        <v>1</v>
      </c>
      <c r="I543" s="7">
        <v>1</v>
      </c>
      <c r="M543" s="7">
        <v>1</v>
      </c>
      <c r="N543" s="7">
        <v>1</v>
      </c>
      <c r="P543" s="7">
        <v>1</v>
      </c>
    </row>
    <row r="544" spans="1:18" x14ac:dyDescent="0.55000000000000004">
      <c r="A544" s="7">
        <v>18</v>
      </c>
      <c r="B544" s="7">
        <v>1</v>
      </c>
      <c r="C544" s="7">
        <f t="shared" si="22"/>
        <v>15</v>
      </c>
      <c r="D544" s="7">
        <v>69.8</v>
      </c>
      <c r="E544" s="7" t="s">
        <v>482</v>
      </c>
      <c r="G544" s="7">
        <v>1</v>
      </c>
      <c r="H544" s="7">
        <v>1</v>
      </c>
      <c r="I544" s="7">
        <v>1</v>
      </c>
      <c r="M544" s="7">
        <v>1</v>
      </c>
      <c r="N544" s="7">
        <v>1</v>
      </c>
      <c r="P544" s="7">
        <v>1</v>
      </c>
    </row>
    <row r="545" spans="1:18" x14ac:dyDescent="0.55000000000000004">
      <c r="A545" s="7">
        <v>18</v>
      </c>
      <c r="B545" s="7">
        <v>1</v>
      </c>
      <c r="C545" s="7">
        <f t="shared" si="22"/>
        <v>16</v>
      </c>
      <c r="D545" s="7">
        <v>54.8</v>
      </c>
      <c r="E545" s="7" t="s">
        <v>483</v>
      </c>
      <c r="G545" s="7">
        <v>1</v>
      </c>
      <c r="H545" s="7">
        <v>1</v>
      </c>
      <c r="I545" s="7">
        <v>1</v>
      </c>
      <c r="J545" s="7">
        <v>1</v>
      </c>
      <c r="M545" s="7">
        <v>1</v>
      </c>
      <c r="N545" s="7">
        <v>1</v>
      </c>
      <c r="P545" s="7">
        <v>1</v>
      </c>
    </row>
    <row r="546" spans="1:18" x14ac:dyDescent="0.55000000000000004">
      <c r="A546" s="7">
        <v>18</v>
      </c>
      <c r="B546" s="7">
        <v>1</v>
      </c>
      <c r="C546" s="7">
        <f t="shared" si="22"/>
        <v>17</v>
      </c>
      <c r="D546" s="7">
        <v>40.200000000000003</v>
      </c>
      <c r="E546" s="7" t="s">
        <v>484</v>
      </c>
      <c r="G546" s="7">
        <v>1</v>
      </c>
      <c r="H546" s="7">
        <v>1</v>
      </c>
      <c r="I546" s="7">
        <v>1</v>
      </c>
      <c r="J546" s="7">
        <v>1</v>
      </c>
      <c r="M546" s="7">
        <v>1</v>
      </c>
      <c r="N546" s="7">
        <v>1</v>
      </c>
      <c r="P546" s="7">
        <v>1</v>
      </c>
    </row>
    <row r="547" spans="1:18" x14ac:dyDescent="0.55000000000000004">
      <c r="A547" s="7">
        <v>18</v>
      </c>
      <c r="B547" s="7">
        <v>1</v>
      </c>
      <c r="C547" s="7">
        <f t="shared" si="22"/>
        <v>18</v>
      </c>
      <c r="D547" s="7">
        <v>40.200000000000003</v>
      </c>
      <c r="E547" s="7" t="s">
        <v>484</v>
      </c>
    </row>
    <row r="548" spans="1:18" x14ac:dyDescent="0.55000000000000004">
      <c r="A548" s="7">
        <v>18</v>
      </c>
      <c r="B548" s="7">
        <v>1</v>
      </c>
      <c r="C548" s="7">
        <f t="shared" si="22"/>
        <v>19</v>
      </c>
      <c r="D548" s="7">
        <v>30.1</v>
      </c>
      <c r="E548" s="7" t="s">
        <v>485</v>
      </c>
      <c r="G548" s="7">
        <v>1</v>
      </c>
      <c r="H548" s="7">
        <v>1</v>
      </c>
      <c r="I548" s="7">
        <v>1</v>
      </c>
      <c r="J548" s="7">
        <v>1</v>
      </c>
      <c r="M548" s="7">
        <v>1</v>
      </c>
      <c r="N548" s="7">
        <v>1</v>
      </c>
      <c r="P548" s="7">
        <v>1</v>
      </c>
    </row>
    <row r="549" spans="1:18" x14ac:dyDescent="0.55000000000000004">
      <c r="A549" s="7">
        <v>18</v>
      </c>
      <c r="B549" s="7">
        <v>1</v>
      </c>
      <c r="C549" s="7">
        <f t="shared" si="22"/>
        <v>20</v>
      </c>
      <c r="D549" s="7">
        <v>19.8</v>
      </c>
      <c r="E549" s="7" t="s">
        <v>486</v>
      </c>
      <c r="G549" s="7">
        <v>1</v>
      </c>
      <c r="H549" s="7">
        <v>1</v>
      </c>
      <c r="I549" s="7">
        <v>1</v>
      </c>
      <c r="J549" s="7">
        <v>1</v>
      </c>
      <c r="M549" s="7">
        <v>1</v>
      </c>
      <c r="N549" s="7">
        <v>1</v>
      </c>
      <c r="P549" s="7">
        <v>1</v>
      </c>
    </row>
    <row r="550" spans="1:18" x14ac:dyDescent="0.55000000000000004">
      <c r="A550" s="7">
        <v>18</v>
      </c>
      <c r="B550" s="7">
        <v>1</v>
      </c>
      <c r="C550" s="7">
        <f t="shared" si="22"/>
        <v>21</v>
      </c>
      <c r="D550" s="7">
        <v>9.6999999999999993</v>
      </c>
      <c r="E550" s="7" t="s">
        <v>487</v>
      </c>
      <c r="G550" s="7">
        <v>1</v>
      </c>
      <c r="H550" s="7">
        <v>1</v>
      </c>
      <c r="I550" s="7">
        <v>1</v>
      </c>
      <c r="J550" s="7">
        <v>1</v>
      </c>
      <c r="M550" s="7">
        <v>1</v>
      </c>
      <c r="N550" s="7">
        <v>1</v>
      </c>
      <c r="P550" s="7">
        <v>1</v>
      </c>
      <c r="Q550" s="7">
        <v>1</v>
      </c>
      <c r="R550" s="7">
        <v>1</v>
      </c>
    </row>
    <row r="551" spans="1:18" x14ac:dyDescent="0.55000000000000004">
      <c r="A551" s="7">
        <v>18</v>
      </c>
      <c r="B551" s="7">
        <v>1</v>
      </c>
      <c r="C551" s="7">
        <f t="shared" si="22"/>
        <v>22</v>
      </c>
    </row>
    <row r="552" spans="1:18" x14ac:dyDescent="0.55000000000000004">
      <c r="A552" s="7">
        <v>18</v>
      </c>
      <c r="B552" s="7">
        <v>1</v>
      </c>
      <c r="C552" s="7">
        <f t="shared" si="22"/>
        <v>23</v>
      </c>
    </row>
    <row r="553" spans="1:18" x14ac:dyDescent="0.55000000000000004">
      <c r="A553" s="7">
        <v>18</v>
      </c>
      <c r="B553" s="7">
        <v>1</v>
      </c>
      <c r="C553" s="7">
        <f>C552+1</f>
        <v>24</v>
      </c>
    </row>
    <row r="554" spans="1:18" x14ac:dyDescent="0.55000000000000004">
      <c r="A554" s="7">
        <v>19</v>
      </c>
      <c r="B554" s="7">
        <v>1</v>
      </c>
      <c r="C554" s="7">
        <v>1</v>
      </c>
      <c r="D554" s="7">
        <v>1200</v>
      </c>
      <c r="E554" s="7" t="s">
        <v>562</v>
      </c>
      <c r="G554" s="7">
        <v>1</v>
      </c>
      <c r="I554" s="7">
        <v>1</v>
      </c>
    </row>
    <row r="555" spans="1:18" x14ac:dyDescent="0.55000000000000004">
      <c r="A555" s="7">
        <v>19</v>
      </c>
      <c r="B555" s="7">
        <v>1</v>
      </c>
      <c r="C555" s="7">
        <f>C554+1</f>
        <v>2</v>
      </c>
      <c r="D555" s="7">
        <v>1200</v>
      </c>
      <c r="E555" s="7" t="s">
        <v>562</v>
      </c>
    </row>
    <row r="556" spans="1:18" x14ac:dyDescent="0.55000000000000004">
      <c r="A556" s="7">
        <v>19</v>
      </c>
      <c r="B556" s="7">
        <v>1</v>
      </c>
      <c r="C556" s="7">
        <f t="shared" ref="C556:C577" si="23">C555+1</f>
        <v>3</v>
      </c>
      <c r="D556" s="7">
        <v>994</v>
      </c>
      <c r="E556" s="7" t="s">
        <v>560</v>
      </c>
      <c r="G556" s="7">
        <v>1</v>
      </c>
      <c r="I556" s="7">
        <v>1</v>
      </c>
    </row>
    <row r="557" spans="1:18" x14ac:dyDescent="0.55000000000000004">
      <c r="A557" s="7">
        <v>19</v>
      </c>
      <c r="B557" s="7">
        <v>1</v>
      </c>
      <c r="C557" s="7">
        <f t="shared" si="23"/>
        <v>4</v>
      </c>
      <c r="D557" s="7">
        <v>754</v>
      </c>
      <c r="E557" s="7" t="s">
        <v>561</v>
      </c>
      <c r="G557" s="7">
        <v>1</v>
      </c>
      <c r="I557" s="7">
        <v>1</v>
      </c>
    </row>
    <row r="558" spans="1:18" x14ac:dyDescent="0.55000000000000004">
      <c r="A558" s="7">
        <v>19</v>
      </c>
      <c r="B558" s="7">
        <v>1</v>
      </c>
      <c r="C558" s="7">
        <f t="shared" si="23"/>
        <v>5</v>
      </c>
      <c r="D558" s="7">
        <v>502</v>
      </c>
      <c r="E558" s="7" t="s">
        <v>559</v>
      </c>
      <c r="G558" s="7">
        <v>1</v>
      </c>
      <c r="H558" s="7">
        <v>1</v>
      </c>
      <c r="I558" s="7">
        <v>1</v>
      </c>
      <c r="P558" s="7">
        <v>1</v>
      </c>
    </row>
    <row r="559" spans="1:18" x14ac:dyDescent="0.55000000000000004">
      <c r="A559" s="7">
        <v>19</v>
      </c>
      <c r="B559" s="7">
        <v>1</v>
      </c>
      <c r="C559" s="7">
        <f t="shared" si="23"/>
        <v>6</v>
      </c>
      <c r="D559" s="7">
        <v>302</v>
      </c>
      <c r="E559" s="7" t="s">
        <v>558</v>
      </c>
      <c r="G559" s="7">
        <v>1</v>
      </c>
      <c r="H559" s="7">
        <v>1</v>
      </c>
      <c r="I559" s="7">
        <v>1</v>
      </c>
      <c r="P559" s="7">
        <v>1</v>
      </c>
    </row>
    <row r="560" spans="1:18" x14ac:dyDescent="0.55000000000000004">
      <c r="A560" s="7">
        <v>19</v>
      </c>
      <c r="B560" s="7">
        <v>1</v>
      </c>
      <c r="C560" s="7">
        <f t="shared" si="23"/>
        <v>7</v>
      </c>
      <c r="D560" s="7">
        <v>251</v>
      </c>
      <c r="E560" s="7" t="s">
        <v>557</v>
      </c>
      <c r="G560" s="7">
        <v>1</v>
      </c>
      <c r="H560" s="7">
        <v>1</v>
      </c>
      <c r="I560" s="7">
        <v>1</v>
      </c>
      <c r="P560" s="7">
        <v>1</v>
      </c>
    </row>
    <row r="561" spans="1:20" x14ac:dyDescent="0.55000000000000004">
      <c r="A561" s="7">
        <v>19</v>
      </c>
      <c r="B561" s="7">
        <v>1</v>
      </c>
      <c r="C561" s="7">
        <f t="shared" si="23"/>
        <v>8</v>
      </c>
      <c r="D561" s="7">
        <v>202</v>
      </c>
      <c r="E561" s="7" t="s">
        <v>556</v>
      </c>
      <c r="G561" s="7">
        <v>1</v>
      </c>
      <c r="H561" s="7">
        <v>1</v>
      </c>
      <c r="I561" s="7">
        <v>1</v>
      </c>
      <c r="P561" s="7">
        <v>1</v>
      </c>
    </row>
    <row r="562" spans="1:20" x14ac:dyDescent="0.55000000000000004">
      <c r="A562" s="7">
        <v>19</v>
      </c>
      <c r="B562" s="7">
        <v>1</v>
      </c>
      <c r="C562" s="7">
        <f t="shared" si="23"/>
        <v>9</v>
      </c>
      <c r="D562" s="7">
        <v>175</v>
      </c>
      <c r="E562" s="7" t="s">
        <v>555</v>
      </c>
      <c r="G562" s="7">
        <v>1</v>
      </c>
      <c r="H562" s="7">
        <v>1</v>
      </c>
      <c r="I562" s="7">
        <v>1</v>
      </c>
      <c r="P562" s="7">
        <v>1</v>
      </c>
    </row>
    <row r="563" spans="1:20" x14ac:dyDescent="0.55000000000000004">
      <c r="A563" s="7">
        <v>19</v>
      </c>
      <c r="B563" s="7">
        <v>1</v>
      </c>
      <c r="C563" s="7">
        <f t="shared" si="23"/>
        <v>10</v>
      </c>
      <c r="D563" s="7">
        <v>151</v>
      </c>
      <c r="E563" s="7" t="s">
        <v>554</v>
      </c>
      <c r="G563" s="7">
        <v>1</v>
      </c>
      <c r="H563" s="7">
        <v>1</v>
      </c>
      <c r="I563" s="7">
        <v>1</v>
      </c>
      <c r="P563" s="7">
        <v>1</v>
      </c>
    </row>
    <row r="564" spans="1:20" x14ac:dyDescent="0.55000000000000004">
      <c r="A564" s="7">
        <v>19</v>
      </c>
      <c r="B564" s="7">
        <v>1</v>
      </c>
      <c r="C564" s="7">
        <f t="shared" si="23"/>
        <v>11</v>
      </c>
      <c r="D564" s="7">
        <v>130</v>
      </c>
      <c r="E564" s="7" t="s">
        <v>553</v>
      </c>
      <c r="G564" s="7">
        <v>1</v>
      </c>
      <c r="H564" s="7">
        <v>1</v>
      </c>
      <c r="I564" s="7">
        <v>1</v>
      </c>
      <c r="P564" s="7">
        <v>1</v>
      </c>
      <c r="T564" s="7" t="s">
        <v>563</v>
      </c>
    </row>
    <row r="565" spans="1:20" x14ac:dyDescent="0.55000000000000004">
      <c r="A565" s="7">
        <v>19</v>
      </c>
      <c r="B565" s="7">
        <v>1</v>
      </c>
      <c r="C565" s="7">
        <f t="shared" si="23"/>
        <v>12</v>
      </c>
      <c r="D565" s="7">
        <v>113</v>
      </c>
      <c r="E565" s="7" t="s">
        <v>552</v>
      </c>
      <c r="G565" s="7">
        <v>1</v>
      </c>
      <c r="H565" s="7">
        <v>1</v>
      </c>
      <c r="I565" s="7">
        <v>1</v>
      </c>
      <c r="P565" s="7">
        <v>1</v>
      </c>
    </row>
    <row r="566" spans="1:20" x14ac:dyDescent="0.55000000000000004">
      <c r="A566" s="7">
        <v>19</v>
      </c>
      <c r="B566" s="7">
        <v>1</v>
      </c>
      <c r="C566" s="7">
        <f t="shared" si="23"/>
        <v>13</v>
      </c>
      <c r="D566" s="7">
        <v>99</v>
      </c>
      <c r="E566" s="7" t="s">
        <v>551</v>
      </c>
      <c r="G566" s="7">
        <v>1</v>
      </c>
      <c r="H566" s="7">
        <v>1</v>
      </c>
      <c r="I566" s="7">
        <v>1</v>
      </c>
      <c r="P566" s="7">
        <v>1</v>
      </c>
    </row>
    <row r="567" spans="1:20" x14ac:dyDescent="0.55000000000000004">
      <c r="A567" s="7">
        <v>19</v>
      </c>
      <c r="B567" s="7">
        <v>1</v>
      </c>
      <c r="C567" s="7">
        <f t="shared" si="23"/>
        <v>14</v>
      </c>
      <c r="D567" s="7">
        <v>84</v>
      </c>
      <c r="E567" s="7" t="s">
        <v>550</v>
      </c>
      <c r="G567" s="7">
        <v>1</v>
      </c>
      <c r="H567" s="7">
        <v>1</v>
      </c>
      <c r="I567" s="7">
        <v>1</v>
      </c>
      <c r="P567" s="7">
        <v>1</v>
      </c>
    </row>
    <row r="568" spans="1:20" x14ac:dyDescent="0.55000000000000004">
      <c r="A568" s="7">
        <v>19</v>
      </c>
      <c r="B568" s="7">
        <v>1</v>
      </c>
      <c r="C568" s="7">
        <f t="shared" si="23"/>
        <v>15</v>
      </c>
      <c r="D568" s="7">
        <v>69</v>
      </c>
      <c r="E568" s="7" t="s">
        <v>549</v>
      </c>
      <c r="G568" s="7">
        <v>1</v>
      </c>
      <c r="H568" s="7">
        <v>1</v>
      </c>
      <c r="I568" s="7">
        <v>1</v>
      </c>
      <c r="P568" s="7">
        <v>1</v>
      </c>
    </row>
    <row r="569" spans="1:20" x14ac:dyDescent="0.55000000000000004">
      <c r="A569" s="7">
        <v>19</v>
      </c>
      <c r="B569" s="7">
        <v>1</v>
      </c>
      <c r="C569" s="7">
        <f t="shared" si="23"/>
        <v>16</v>
      </c>
      <c r="D569" s="7">
        <v>55</v>
      </c>
      <c r="E569" s="7" t="s">
        <v>548</v>
      </c>
      <c r="G569" s="7">
        <v>1</v>
      </c>
      <c r="H569" s="7">
        <v>1</v>
      </c>
      <c r="I569" s="7">
        <v>1</v>
      </c>
      <c r="J569" s="7">
        <v>1</v>
      </c>
      <c r="P569" s="7">
        <v>1</v>
      </c>
    </row>
    <row r="570" spans="1:20" x14ac:dyDescent="0.55000000000000004">
      <c r="A570" s="7">
        <v>19</v>
      </c>
      <c r="B570" s="7">
        <v>1</v>
      </c>
      <c r="C570" s="7">
        <f t="shared" si="23"/>
        <v>17</v>
      </c>
      <c r="D570" s="7">
        <v>40</v>
      </c>
      <c r="E570" s="7" t="s">
        <v>547</v>
      </c>
      <c r="G570" s="7">
        <v>1</v>
      </c>
      <c r="H570" s="7">
        <v>1</v>
      </c>
      <c r="I570" s="7">
        <v>1</v>
      </c>
      <c r="J570" s="7">
        <v>1</v>
      </c>
      <c r="P570" s="7">
        <v>1</v>
      </c>
    </row>
    <row r="571" spans="1:20" x14ac:dyDescent="0.55000000000000004">
      <c r="A571" s="7">
        <v>19</v>
      </c>
      <c r="B571" s="7">
        <v>1</v>
      </c>
      <c r="C571" s="7">
        <f t="shared" si="23"/>
        <v>18</v>
      </c>
      <c r="D571" s="7">
        <v>40</v>
      </c>
      <c r="E571" s="7" t="s">
        <v>547</v>
      </c>
    </row>
    <row r="572" spans="1:20" x14ac:dyDescent="0.55000000000000004">
      <c r="A572" s="7">
        <v>19</v>
      </c>
      <c r="B572" s="7">
        <v>1</v>
      </c>
      <c r="C572" s="7">
        <f t="shared" si="23"/>
        <v>19</v>
      </c>
      <c r="D572" s="7">
        <v>30</v>
      </c>
      <c r="E572" s="7" t="s">
        <v>546</v>
      </c>
      <c r="G572" s="7">
        <v>1</v>
      </c>
      <c r="H572" s="7">
        <v>1</v>
      </c>
      <c r="I572" s="7">
        <v>1</v>
      </c>
      <c r="J572" s="7">
        <v>1</v>
      </c>
      <c r="P572" s="7">
        <v>1</v>
      </c>
    </row>
    <row r="573" spans="1:20" x14ac:dyDescent="0.55000000000000004">
      <c r="A573" s="7">
        <v>19</v>
      </c>
      <c r="B573" s="7">
        <v>1</v>
      </c>
      <c r="C573" s="7">
        <f t="shared" si="23"/>
        <v>20</v>
      </c>
      <c r="D573" s="7">
        <v>19</v>
      </c>
      <c r="E573" s="7" t="s">
        <v>545</v>
      </c>
      <c r="G573" s="7">
        <v>1</v>
      </c>
      <c r="H573" s="7">
        <v>1</v>
      </c>
      <c r="I573" s="7">
        <v>1</v>
      </c>
      <c r="J573" s="7">
        <v>1</v>
      </c>
      <c r="P573" s="7">
        <v>1</v>
      </c>
    </row>
    <row r="574" spans="1:20" x14ac:dyDescent="0.55000000000000004">
      <c r="A574" s="7">
        <v>19</v>
      </c>
      <c r="B574" s="7">
        <v>1</v>
      </c>
      <c r="C574" s="7">
        <f t="shared" si="23"/>
        <v>21</v>
      </c>
      <c r="D574" s="7">
        <v>10</v>
      </c>
      <c r="E574" s="7" t="s">
        <v>544</v>
      </c>
      <c r="G574" s="7">
        <v>1</v>
      </c>
      <c r="H574" s="7">
        <v>1</v>
      </c>
      <c r="I574" s="7">
        <v>1</v>
      </c>
      <c r="J574" s="7">
        <v>1</v>
      </c>
      <c r="P574" s="7">
        <v>1</v>
      </c>
    </row>
    <row r="575" spans="1:20" x14ac:dyDescent="0.55000000000000004">
      <c r="A575" s="7">
        <v>19</v>
      </c>
      <c r="B575" s="7">
        <v>1</v>
      </c>
      <c r="C575" s="7">
        <f>C574+1</f>
        <v>22</v>
      </c>
      <c r="D575" s="7">
        <v>11</v>
      </c>
      <c r="T575" s="7" t="s">
        <v>564</v>
      </c>
    </row>
    <row r="576" spans="1:20" x14ac:dyDescent="0.55000000000000004">
      <c r="A576" s="7">
        <v>19</v>
      </c>
      <c r="B576" s="7">
        <v>1</v>
      </c>
      <c r="C576" s="7">
        <f t="shared" si="23"/>
        <v>23</v>
      </c>
      <c r="D576" s="7">
        <v>5</v>
      </c>
      <c r="T576" s="7" t="s">
        <v>564</v>
      </c>
    </row>
    <row r="577" spans="1:20" x14ac:dyDescent="0.55000000000000004">
      <c r="A577" s="7">
        <v>19</v>
      </c>
      <c r="B577" s="7">
        <v>1</v>
      </c>
      <c r="C577" s="7">
        <f t="shared" si="23"/>
        <v>24</v>
      </c>
      <c r="D577" s="7">
        <v>2</v>
      </c>
      <c r="E577" s="7" t="s">
        <v>543</v>
      </c>
      <c r="G577" s="7">
        <v>1</v>
      </c>
      <c r="H577" s="7">
        <v>1</v>
      </c>
      <c r="I577" s="7">
        <v>1</v>
      </c>
      <c r="J577" s="7">
        <v>1</v>
      </c>
      <c r="P577" s="7">
        <v>1</v>
      </c>
      <c r="Q577" s="7">
        <v>1</v>
      </c>
      <c r="R577" s="7">
        <v>1</v>
      </c>
      <c r="T577" s="7" t="s">
        <v>564</v>
      </c>
    </row>
    <row r="578" spans="1:20" x14ac:dyDescent="0.55000000000000004">
      <c r="A578" s="7">
        <v>20</v>
      </c>
      <c r="B578" s="7">
        <v>1</v>
      </c>
      <c r="C578" s="7">
        <v>1</v>
      </c>
      <c r="D578" s="7">
        <v>1201</v>
      </c>
      <c r="E578" s="7" t="s">
        <v>488</v>
      </c>
      <c r="G578" s="7">
        <v>1</v>
      </c>
      <c r="I578" s="7">
        <v>1</v>
      </c>
    </row>
    <row r="579" spans="1:20" x14ac:dyDescent="0.55000000000000004">
      <c r="A579" s="7">
        <v>20</v>
      </c>
      <c r="B579" s="7">
        <v>1</v>
      </c>
      <c r="C579" s="7">
        <f>C578+1</f>
        <v>2</v>
      </c>
      <c r="D579" s="7">
        <v>1201</v>
      </c>
      <c r="E579" s="7" t="s">
        <v>488</v>
      </c>
    </row>
    <row r="580" spans="1:20" x14ac:dyDescent="0.55000000000000004">
      <c r="A580" s="7">
        <v>20</v>
      </c>
      <c r="B580" s="7">
        <v>1</v>
      </c>
      <c r="C580" s="7">
        <f t="shared" ref="C580:C601" si="24">C579+1</f>
        <v>3</v>
      </c>
      <c r="D580" s="7">
        <v>1000</v>
      </c>
      <c r="E580" s="7" t="s">
        <v>489</v>
      </c>
      <c r="G580" s="7">
        <v>1</v>
      </c>
      <c r="I580" s="7">
        <v>1</v>
      </c>
    </row>
    <row r="581" spans="1:20" x14ac:dyDescent="0.55000000000000004">
      <c r="A581" s="7">
        <v>20</v>
      </c>
      <c r="B581" s="7">
        <v>1</v>
      </c>
      <c r="C581" s="7">
        <f t="shared" si="24"/>
        <v>4</v>
      </c>
      <c r="D581" s="7">
        <v>1000</v>
      </c>
      <c r="E581" s="7" t="s">
        <v>490</v>
      </c>
      <c r="G581" s="7">
        <v>1</v>
      </c>
      <c r="I581" s="7">
        <v>1</v>
      </c>
      <c r="T581" s="7" t="s">
        <v>508</v>
      </c>
    </row>
    <row r="582" spans="1:20" x14ac:dyDescent="0.55000000000000004">
      <c r="A582" s="7">
        <v>20</v>
      </c>
      <c r="B582" s="7">
        <v>1</v>
      </c>
      <c r="C582" s="7">
        <f t="shared" si="24"/>
        <v>5</v>
      </c>
      <c r="D582" s="7">
        <v>500</v>
      </c>
      <c r="E582" s="7" t="s">
        <v>491</v>
      </c>
      <c r="G582" s="7">
        <v>1</v>
      </c>
      <c r="H582" s="7">
        <v>1</v>
      </c>
      <c r="I582" s="7">
        <v>1</v>
      </c>
      <c r="P582" s="7">
        <v>1</v>
      </c>
    </row>
    <row r="583" spans="1:20" x14ac:dyDescent="0.55000000000000004">
      <c r="A583" s="7">
        <v>20</v>
      </c>
      <c r="B583" s="7">
        <v>1</v>
      </c>
      <c r="C583" s="7">
        <f t="shared" si="24"/>
        <v>6</v>
      </c>
      <c r="D583" s="7">
        <v>300</v>
      </c>
      <c r="E583" s="7" t="s">
        <v>492</v>
      </c>
      <c r="G583" s="7">
        <v>1</v>
      </c>
      <c r="H583" s="7">
        <v>1</v>
      </c>
      <c r="I583" s="7">
        <v>1</v>
      </c>
      <c r="P583" s="7">
        <v>1</v>
      </c>
    </row>
    <row r="584" spans="1:20" x14ac:dyDescent="0.55000000000000004">
      <c r="A584" s="7">
        <v>20</v>
      </c>
      <c r="B584" s="7">
        <v>1</v>
      </c>
      <c r="C584" s="7">
        <f t="shared" si="24"/>
        <v>7</v>
      </c>
      <c r="D584" s="7">
        <v>250</v>
      </c>
      <c r="E584" s="7" t="s">
        <v>493</v>
      </c>
      <c r="G584" s="7">
        <v>1</v>
      </c>
      <c r="H584" s="7">
        <v>1</v>
      </c>
      <c r="I584" s="7">
        <v>1</v>
      </c>
      <c r="P584" s="7">
        <v>1</v>
      </c>
    </row>
    <row r="585" spans="1:20" x14ac:dyDescent="0.55000000000000004">
      <c r="A585" s="7">
        <v>20</v>
      </c>
      <c r="B585" s="7">
        <v>1</v>
      </c>
      <c r="C585" s="7">
        <f t="shared" si="24"/>
        <v>8</v>
      </c>
      <c r="D585" s="7">
        <v>199.9</v>
      </c>
      <c r="E585" s="7" t="s">
        <v>494</v>
      </c>
      <c r="G585" s="7">
        <v>1</v>
      </c>
      <c r="H585" s="7">
        <v>1</v>
      </c>
      <c r="I585" s="7">
        <v>1</v>
      </c>
      <c r="P585" s="7">
        <v>1</v>
      </c>
    </row>
    <row r="586" spans="1:20" x14ac:dyDescent="0.55000000000000004">
      <c r="A586" s="7">
        <v>20</v>
      </c>
      <c r="B586" s="7">
        <v>1</v>
      </c>
      <c r="C586" s="7">
        <f t="shared" si="24"/>
        <v>9</v>
      </c>
      <c r="D586" s="7">
        <v>175</v>
      </c>
      <c r="E586" s="7" t="s">
        <v>495</v>
      </c>
      <c r="G586" s="7">
        <v>1</v>
      </c>
      <c r="H586" s="7">
        <v>1</v>
      </c>
      <c r="I586" s="7">
        <v>1</v>
      </c>
      <c r="P586" s="7">
        <v>1</v>
      </c>
    </row>
    <row r="587" spans="1:20" x14ac:dyDescent="0.55000000000000004">
      <c r="A587" s="7">
        <v>20</v>
      </c>
      <c r="B587" s="7">
        <v>1</v>
      </c>
      <c r="C587" s="7">
        <f t="shared" si="24"/>
        <v>10</v>
      </c>
      <c r="D587" s="7">
        <v>150.69999999999999</v>
      </c>
      <c r="E587" s="7" t="s">
        <v>496</v>
      </c>
      <c r="G587" s="7">
        <v>1</v>
      </c>
      <c r="H587" s="7">
        <v>1</v>
      </c>
      <c r="I587" s="7">
        <v>1</v>
      </c>
      <c r="P587" s="7">
        <v>1</v>
      </c>
    </row>
    <row r="588" spans="1:20" x14ac:dyDescent="0.55000000000000004">
      <c r="A588" s="7">
        <v>20</v>
      </c>
      <c r="B588" s="7">
        <v>1</v>
      </c>
      <c r="C588" s="7">
        <f t="shared" si="24"/>
        <v>11</v>
      </c>
      <c r="D588" s="7">
        <v>130</v>
      </c>
      <c r="E588" s="7" t="s">
        <v>497</v>
      </c>
      <c r="G588" s="7">
        <v>1</v>
      </c>
      <c r="H588" s="7">
        <v>1</v>
      </c>
      <c r="I588" s="7">
        <v>1</v>
      </c>
      <c r="P588" s="7">
        <v>1</v>
      </c>
    </row>
    <row r="589" spans="1:20" x14ac:dyDescent="0.55000000000000004">
      <c r="A589" s="7">
        <v>20</v>
      </c>
      <c r="B589" s="7">
        <v>1</v>
      </c>
      <c r="C589" s="7">
        <f t="shared" si="24"/>
        <v>12</v>
      </c>
      <c r="D589" s="7">
        <v>114.5</v>
      </c>
      <c r="E589" s="7" t="s">
        <v>498</v>
      </c>
      <c r="G589" s="7">
        <v>1</v>
      </c>
      <c r="H589" s="7">
        <v>1</v>
      </c>
      <c r="I589" s="7">
        <v>1</v>
      </c>
      <c r="P589" s="7">
        <v>1</v>
      </c>
    </row>
    <row r="590" spans="1:20" x14ac:dyDescent="0.55000000000000004">
      <c r="A590" s="7">
        <v>20</v>
      </c>
      <c r="B590" s="7">
        <v>1</v>
      </c>
      <c r="C590" s="7">
        <f t="shared" si="24"/>
        <v>13</v>
      </c>
      <c r="D590" s="7">
        <v>99.7</v>
      </c>
      <c r="E590" s="7" t="s">
        <v>499</v>
      </c>
      <c r="G590" s="7">
        <v>1</v>
      </c>
      <c r="H590" s="7">
        <v>1</v>
      </c>
      <c r="I590" s="7">
        <v>1</v>
      </c>
      <c r="P590" s="7">
        <v>1</v>
      </c>
    </row>
    <row r="591" spans="1:20" x14ac:dyDescent="0.55000000000000004">
      <c r="A591" s="7">
        <v>20</v>
      </c>
      <c r="B591" s="7">
        <v>1</v>
      </c>
      <c r="C591" s="7">
        <f t="shared" si="24"/>
        <v>14</v>
      </c>
      <c r="D591" s="7">
        <v>84.5</v>
      </c>
      <c r="E591" s="7" t="s">
        <v>500</v>
      </c>
      <c r="G591" s="7">
        <v>1</v>
      </c>
      <c r="H591" s="7">
        <v>1</v>
      </c>
      <c r="I591" s="7">
        <v>1</v>
      </c>
      <c r="P591" s="7">
        <v>1</v>
      </c>
    </row>
    <row r="592" spans="1:20" x14ac:dyDescent="0.55000000000000004">
      <c r="A592" s="7">
        <v>20</v>
      </c>
      <c r="B592" s="7">
        <v>1</v>
      </c>
      <c r="C592" s="7">
        <f t="shared" si="24"/>
        <v>15</v>
      </c>
      <c r="D592" s="7">
        <v>69.5</v>
      </c>
      <c r="E592" s="7" t="s">
        <v>501</v>
      </c>
      <c r="G592" s="7">
        <v>1</v>
      </c>
      <c r="H592" s="7">
        <v>1</v>
      </c>
      <c r="I592" s="7">
        <v>1</v>
      </c>
      <c r="P592" s="7">
        <v>1</v>
      </c>
    </row>
    <row r="593" spans="1:20" x14ac:dyDescent="0.55000000000000004">
      <c r="A593" s="7">
        <v>20</v>
      </c>
      <c r="B593" s="7">
        <v>1</v>
      </c>
      <c r="C593" s="7">
        <f t="shared" si="24"/>
        <v>16</v>
      </c>
      <c r="D593" s="7">
        <v>54.7</v>
      </c>
      <c r="E593" s="7" t="s">
        <v>502</v>
      </c>
      <c r="G593" s="7">
        <v>1</v>
      </c>
      <c r="H593" s="7">
        <v>1</v>
      </c>
      <c r="I593" s="7">
        <v>1</v>
      </c>
      <c r="J593" s="7">
        <v>1</v>
      </c>
      <c r="P593" s="7">
        <v>1</v>
      </c>
    </row>
    <row r="594" spans="1:20" x14ac:dyDescent="0.55000000000000004">
      <c r="A594" s="7">
        <v>20</v>
      </c>
      <c r="B594" s="7">
        <v>1</v>
      </c>
      <c r="C594" s="7">
        <f t="shared" si="24"/>
        <v>17</v>
      </c>
      <c r="D594" s="7">
        <v>40</v>
      </c>
      <c r="E594" s="7" t="s">
        <v>503</v>
      </c>
      <c r="T594" s="7" t="s">
        <v>507</v>
      </c>
    </row>
    <row r="595" spans="1:20" x14ac:dyDescent="0.55000000000000004">
      <c r="A595" s="7">
        <v>20</v>
      </c>
      <c r="B595" s="7">
        <v>1</v>
      </c>
      <c r="C595" s="7">
        <f t="shared" si="24"/>
        <v>18</v>
      </c>
      <c r="D595" s="7">
        <v>40</v>
      </c>
      <c r="E595" s="7" t="s">
        <v>503</v>
      </c>
      <c r="G595" s="7">
        <v>1</v>
      </c>
      <c r="H595" s="7">
        <v>1</v>
      </c>
      <c r="I595" s="7">
        <v>1</v>
      </c>
      <c r="J595" s="7">
        <v>1</v>
      </c>
      <c r="P595" s="7">
        <v>1</v>
      </c>
    </row>
    <row r="596" spans="1:20" x14ac:dyDescent="0.55000000000000004">
      <c r="A596" s="7">
        <v>20</v>
      </c>
      <c r="B596" s="7">
        <v>1</v>
      </c>
      <c r="C596" s="7">
        <f t="shared" si="24"/>
        <v>19</v>
      </c>
      <c r="D596" s="7">
        <v>30</v>
      </c>
      <c r="E596" s="7" t="s">
        <v>504</v>
      </c>
      <c r="G596" s="7">
        <v>1</v>
      </c>
      <c r="H596" s="7">
        <v>1</v>
      </c>
      <c r="I596" s="7">
        <v>1</v>
      </c>
      <c r="J596" s="7">
        <v>1</v>
      </c>
      <c r="P596" s="7">
        <v>1</v>
      </c>
    </row>
    <row r="597" spans="1:20" x14ac:dyDescent="0.55000000000000004">
      <c r="A597" s="7">
        <v>20</v>
      </c>
      <c r="B597" s="7">
        <v>1</v>
      </c>
      <c r="C597" s="7">
        <f t="shared" si="24"/>
        <v>20</v>
      </c>
      <c r="D597" s="7">
        <v>19.7</v>
      </c>
      <c r="E597" s="7" t="s">
        <v>505</v>
      </c>
      <c r="G597" s="7">
        <v>1</v>
      </c>
      <c r="H597" s="7">
        <v>1</v>
      </c>
      <c r="I597" s="7">
        <v>1</v>
      </c>
      <c r="J597" s="7">
        <v>1</v>
      </c>
      <c r="P597" s="7">
        <v>1</v>
      </c>
    </row>
    <row r="598" spans="1:20" x14ac:dyDescent="0.55000000000000004">
      <c r="A598" s="7">
        <v>20</v>
      </c>
      <c r="B598" s="7">
        <v>1</v>
      </c>
      <c r="C598" s="7">
        <f t="shared" si="24"/>
        <v>21</v>
      </c>
      <c r="D598" s="7">
        <v>10</v>
      </c>
      <c r="E598" s="7" t="s">
        <v>506</v>
      </c>
      <c r="G598" s="7">
        <v>1</v>
      </c>
      <c r="H598" s="7">
        <v>1</v>
      </c>
      <c r="I598" s="7">
        <v>1</v>
      </c>
      <c r="J598" s="7">
        <v>1</v>
      </c>
      <c r="P598" s="7">
        <v>1</v>
      </c>
    </row>
    <row r="599" spans="1:20" x14ac:dyDescent="0.55000000000000004">
      <c r="A599" s="7">
        <v>20</v>
      </c>
      <c r="B599" s="7">
        <v>1</v>
      </c>
      <c r="C599" s="7">
        <f t="shared" si="24"/>
        <v>22</v>
      </c>
      <c r="D599" s="7">
        <v>6.3</v>
      </c>
      <c r="E599" s="7" t="s">
        <v>1035</v>
      </c>
    </row>
    <row r="600" spans="1:20" x14ac:dyDescent="0.55000000000000004">
      <c r="A600" s="7">
        <v>20</v>
      </c>
      <c r="B600" s="7">
        <v>1</v>
      </c>
      <c r="C600" s="7">
        <f>C599+1</f>
        <v>23</v>
      </c>
      <c r="D600" s="7">
        <v>6.3</v>
      </c>
      <c r="E600" s="7" t="s">
        <v>1035</v>
      </c>
    </row>
    <row r="601" spans="1:20" x14ac:dyDescent="0.55000000000000004">
      <c r="A601" s="7">
        <v>20</v>
      </c>
      <c r="B601" s="7">
        <v>1</v>
      </c>
      <c r="C601" s="7">
        <f t="shared" si="24"/>
        <v>24</v>
      </c>
      <c r="D601" s="7">
        <v>6.3</v>
      </c>
      <c r="E601" s="7" t="s">
        <v>1035</v>
      </c>
      <c r="G601" s="7">
        <v>1</v>
      </c>
      <c r="H601" s="7">
        <v>1</v>
      </c>
      <c r="I601" s="7">
        <v>1</v>
      </c>
      <c r="J601" s="7">
        <v>1</v>
      </c>
      <c r="P601" s="7">
        <v>1</v>
      </c>
      <c r="Q601" s="7">
        <v>1</v>
      </c>
      <c r="R601" s="7">
        <v>1</v>
      </c>
      <c r="T601" s="7" t="s">
        <v>814</v>
      </c>
    </row>
    <row r="602" spans="1:20" x14ac:dyDescent="0.55000000000000004">
      <c r="A602" s="7">
        <v>21</v>
      </c>
      <c r="B602" s="7">
        <v>1</v>
      </c>
      <c r="C602" s="7">
        <v>1</v>
      </c>
      <c r="D602" s="7">
        <v>249.7</v>
      </c>
      <c r="E602" s="7" t="s">
        <v>514</v>
      </c>
      <c r="K602" s="7">
        <v>1</v>
      </c>
    </row>
    <row r="603" spans="1:20" x14ac:dyDescent="0.55000000000000004">
      <c r="A603" s="7">
        <v>21</v>
      </c>
      <c r="B603" s="7">
        <v>1</v>
      </c>
      <c r="C603" s="7">
        <f>C602+1</f>
        <v>2</v>
      </c>
      <c r="D603" s="7">
        <v>249.7</v>
      </c>
      <c r="E603" s="7" t="s">
        <v>514</v>
      </c>
      <c r="K603" s="7">
        <v>1</v>
      </c>
    </row>
    <row r="604" spans="1:20" x14ac:dyDescent="0.55000000000000004">
      <c r="A604" s="7">
        <v>21</v>
      </c>
      <c r="B604" s="7">
        <v>1</v>
      </c>
      <c r="C604" s="7">
        <f t="shared" ref="C604:C625" si="25">C603+1</f>
        <v>3</v>
      </c>
      <c r="D604" s="7">
        <v>249.7</v>
      </c>
      <c r="E604" s="7" t="s">
        <v>514</v>
      </c>
      <c r="K604" s="7">
        <v>1</v>
      </c>
    </row>
    <row r="605" spans="1:20" x14ac:dyDescent="0.55000000000000004">
      <c r="A605" s="7">
        <v>21</v>
      </c>
      <c r="B605" s="7">
        <v>1</v>
      </c>
      <c r="C605" s="7">
        <f t="shared" si="25"/>
        <v>4</v>
      </c>
      <c r="D605" s="7">
        <v>249.7</v>
      </c>
      <c r="E605" s="7" t="s">
        <v>514</v>
      </c>
      <c r="K605" s="7">
        <v>1</v>
      </c>
    </row>
    <row r="606" spans="1:20" x14ac:dyDescent="0.55000000000000004">
      <c r="A606" s="7">
        <v>21</v>
      </c>
      <c r="B606" s="7">
        <v>1</v>
      </c>
      <c r="C606" s="7">
        <f t="shared" si="25"/>
        <v>5</v>
      </c>
      <c r="D606" s="7">
        <v>249.7</v>
      </c>
      <c r="E606" s="7" t="s">
        <v>514</v>
      </c>
      <c r="K606" s="7">
        <v>1</v>
      </c>
    </row>
    <row r="607" spans="1:20" x14ac:dyDescent="0.55000000000000004">
      <c r="A607" s="7">
        <v>21</v>
      </c>
      <c r="B607" s="7">
        <v>1</v>
      </c>
      <c r="C607" s="7">
        <f t="shared" si="25"/>
        <v>6</v>
      </c>
      <c r="D607" s="7">
        <v>249.7</v>
      </c>
      <c r="E607" s="7" t="s">
        <v>514</v>
      </c>
      <c r="K607" s="7">
        <v>1</v>
      </c>
    </row>
    <row r="608" spans="1:20" x14ac:dyDescent="0.55000000000000004">
      <c r="A608" s="7">
        <v>21</v>
      </c>
      <c r="B608" s="7">
        <v>1</v>
      </c>
      <c r="C608" s="7">
        <f t="shared" si="25"/>
        <v>7</v>
      </c>
      <c r="D608" s="7">
        <v>100</v>
      </c>
      <c r="E608" s="7" t="s">
        <v>515</v>
      </c>
      <c r="K608" s="7">
        <v>1</v>
      </c>
    </row>
    <row r="609" spans="1:11" x14ac:dyDescent="0.55000000000000004">
      <c r="A609" s="7">
        <v>21</v>
      </c>
      <c r="B609" s="7">
        <v>1</v>
      </c>
      <c r="C609" s="7">
        <f t="shared" si="25"/>
        <v>8</v>
      </c>
      <c r="D609" s="7">
        <v>100</v>
      </c>
      <c r="E609" s="7" t="s">
        <v>515</v>
      </c>
      <c r="K609" s="7">
        <v>1</v>
      </c>
    </row>
    <row r="610" spans="1:11" x14ac:dyDescent="0.55000000000000004">
      <c r="A610" s="7">
        <v>21</v>
      </c>
      <c r="B610" s="7">
        <v>1</v>
      </c>
      <c r="C610" s="7">
        <f t="shared" si="25"/>
        <v>9</v>
      </c>
      <c r="D610" s="7">
        <v>100</v>
      </c>
      <c r="E610" s="7" t="s">
        <v>515</v>
      </c>
      <c r="K610" s="7">
        <v>1</v>
      </c>
    </row>
    <row r="611" spans="1:11" x14ac:dyDescent="0.55000000000000004">
      <c r="A611" s="7">
        <v>21</v>
      </c>
      <c r="B611" s="7">
        <v>1</v>
      </c>
      <c r="C611" s="7">
        <f t="shared" si="25"/>
        <v>10</v>
      </c>
      <c r="D611" s="7">
        <v>100</v>
      </c>
      <c r="E611" s="7" t="s">
        <v>515</v>
      </c>
      <c r="K611" s="7">
        <v>1</v>
      </c>
    </row>
    <row r="612" spans="1:11" x14ac:dyDescent="0.55000000000000004">
      <c r="A612" s="7">
        <v>21</v>
      </c>
      <c r="B612" s="7">
        <v>1</v>
      </c>
      <c r="C612" s="7">
        <f t="shared" si="25"/>
        <v>11</v>
      </c>
      <c r="D612" s="7">
        <v>100</v>
      </c>
      <c r="E612" s="7" t="s">
        <v>515</v>
      </c>
      <c r="K612" s="7">
        <v>1</v>
      </c>
    </row>
    <row r="613" spans="1:11" x14ac:dyDescent="0.55000000000000004">
      <c r="A613" s="7">
        <v>21</v>
      </c>
      <c r="B613" s="7">
        <v>1</v>
      </c>
      <c r="C613" s="7">
        <f t="shared" si="25"/>
        <v>12</v>
      </c>
      <c r="D613" s="7">
        <v>100</v>
      </c>
      <c r="E613" s="7" t="s">
        <v>515</v>
      </c>
      <c r="K613" s="7">
        <v>1</v>
      </c>
    </row>
    <row r="614" spans="1:11" x14ac:dyDescent="0.55000000000000004">
      <c r="A614" s="7">
        <v>21</v>
      </c>
      <c r="B614" s="7">
        <v>1</v>
      </c>
      <c r="C614" s="7">
        <f t="shared" si="25"/>
        <v>13</v>
      </c>
      <c r="D614" s="7">
        <v>40.4</v>
      </c>
      <c r="E614" s="7" t="s">
        <v>516</v>
      </c>
      <c r="K614" s="7">
        <v>1</v>
      </c>
    </row>
    <row r="615" spans="1:11" x14ac:dyDescent="0.55000000000000004">
      <c r="A615" s="7">
        <v>21</v>
      </c>
      <c r="B615" s="7">
        <v>1</v>
      </c>
      <c r="C615" s="7">
        <f t="shared" si="25"/>
        <v>14</v>
      </c>
      <c r="D615" s="7">
        <v>40.4</v>
      </c>
      <c r="E615" s="7" t="s">
        <v>516</v>
      </c>
      <c r="K615" s="7">
        <v>1</v>
      </c>
    </row>
    <row r="616" spans="1:11" x14ac:dyDescent="0.55000000000000004">
      <c r="A616" s="7">
        <v>21</v>
      </c>
      <c r="B616" s="7">
        <v>1</v>
      </c>
      <c r="C616" s="7">
        <f t="shared" si="25"/>
        <v>15</v>
      </c>
      <c r="D616" s="7">
        <v>40.4</v>
      </c>
      <c r="E616" s="7" t="s">
        <v>516</v>
      </c>
      <c r="K616" s="7">
        <v>1</v>
      </c>
    </row>
    <row r="617" spans="1:11" x14ac:dyDescent="0.55000000000000004">
      <c r="A617" s="7">
        <v>21</v>
      </c>
      <c r="B617" s="7">
        <v>1</v>
      </c>
      <c r="C617" s="7">
        <f t="shared" si="25"/>
        <v>16</v>
      </c>
      <c r="D617" s="7">
        <v>40.4</v>
      </c>
      <c r="E617" s="7" t="s">
        <v>516</v>
      </c>
      <c r="K617" s="7">
        <v>1</v>
      </c>
    </row>
    <row r="618" spans="1:11" x14ac:dyDescent="0.55000000000000004">
      <c r="A618" s="7">
        <v>21</v>
      </c>
      <c r="B618" s="7">
        <v>1</v>
      </c>
      <c r="C618" s="7">
        <f t="shared" si="25"/>
        <v>17</v>
      </c>
      <c r="D618" s="7">
        <v>40.4</v>
      </c>
      <c r="E618" s="7" t="s">
        <v>516</v>
      </c>
      <c r="K618" s="7">
        <v>1</v>
      </c>
    </row>
    <row r="619" spans="1:11" x14ac:dyDescent="0.55000000000000004">
      <c r="A619" s="7">
        <v>21</v>
      </c>
      <c r="B619" s="7">
        <v>1</v>
      </c>
      <c r="C619" s="7">
        <f t="shared" si="25"/>
        <v>18</v>
      </c>
      <c r="D619" s="7">
        <v>40.4</v>
      </c>
      <c r="E619" s="7" t="s">
        <v>516</v>
      </c>
      <c r="K619" s="7">
        <v>1</v>
      </c>
    </row>
    <row r="620" spans="1:11" x14ac:dyDescent="0.55000000000000004">
      <c r="A620" s="7">
        <v>21</v>
      </c>
      <c r="B620" s="7">
        <v>1</v>
      </c>
      <c r="C620" s="7">
        <f t="shared" si="25"/>
        <v>19</v>
      </c>
      <c r="D620" s="7">
        <v>21.3</v>
      </c>
      <c r="E620" s="7" t="s">
        <v>517</v>
      </c>
      <c r="K620" s="7">
        <v>1</v>
      </c>
    </row>
    <row r="621" spans="1:11" x14ac:dyDescent="0.55000000000000004">
      <c r="A621" s="7">
        <v>21</v>
      </c>
      <c r="B621" s="7">
        <v>1</v>
      </c>
      <c r="C621" s="7">
        <f t="shared" si="25"/>
        <v>20</v>
      </c>
      <c r="D621" s="7">
        <v>21.3</v>
      </c>
      <c r="E621" s="7" t="s">
        <v>517</v>
      </c>
      <c r="K621" s="7">
        <v>1</v>
      </c>
    </row>
    <row r="622" spans="1:11" x14ac:dyDescent="0.55000000000000004">
      <c r="A622" s="7">
        <v>21</v>
      </c>
      <c r="B622" s="7">
        <v>1</v>
      </c>
      <c r="C622" s="7">
        <f t="shared" si="25"/>
        <v>21</v>
      </c>
      <c r="D622" s="7">
        <v>21.3</v>
      </c>
      <c r="E622" s="7" t="s">
        <v>517</v>
      </c>
      <c r="K622" s="7">
        <v>1</v>
      </c>
    </row>
    <row r="623" spans="1:11" x14ac:dyDescent="0.55000000000000004">
      <c r="A623" s="7">
        <v>21</v>
      </c>
      <c r="B623" s="7">
        <v>1</v>
      </c>
      <c r="C623" s="7">
        <f t="shared" si="25"/>
        <v>22</v>
      </c>
      <c r="D623" s="7">
        <v>21.3</v>
      </c>
      <c r="E623" s="7" t="s">
        <v>517</v>
      </c>
      <c r="K623" s="7">
        <v>1</v>
      </c>
    </row>
    <row r="624" spans="1:11" x14ac:dyDescent="0.55000000000000004">
      <c r="A624" s="7">
        <v>21</v>
      </c>
      <c r="B624" s="7">
        <v>1</v>
      </c>
      <c r="C624" s="7">
        <f t="shared" si="25"/>
        <v>23</v>
      </c>
      <c r="D624" s="7">
        <v>21.3</v>
      </c>
      <c r="E624" s="7" t="s">
        <v>517</v>
      </c>
      <c r="K624" s="7">
        <v>1</v>
      </c>
    </row>
    <row r="625" spans="1:17" x14ac:dyDescent="0.55000000000000004">
      <c r="A625" s="7">
        <v>21</v>
      </c>
      <c r="B625" s="7">
        <v>1</v>
      </c>
      <c r="C625" s="7">
        <f t="shared" si="25"/>
        <v>24</v>
      </c>
      <c r="D625" s="7">
        <v>21.3</v>
      </c>
      <c r="E625" s="7" t="s">
        <v>517</v>
      </c>
      <c r="K625" s="7">
        <v>1</v>
      </c>
    </row>
    <row r="626" spans="1:17" x14ac:dyDescent="0.55000000000000004">
      <c r="A626" s="7">
        <v>21</v>
      </c>
      <c r="B626" s="7">
        <v>2</v>
      </c>
      <c r="C626" s="7">
        <v>1</v>
      </c>
      <c r="D626" s="7">
        <v>2488.6999999999998</v>
      </c>
      <c r="E626" s="7" t="s">
        <v>539</v>
      </c>
      <c r="G626" s="7">
        <v>1</v>
      </c>
      <c r="H626" s="7">
        <v>1</v>
      </c>
      <c r="I626" s="7">
        <v>1</v>
      </c>
      <c r="P626" s="7">
        <v>1</v>
      </c>
      <c r="Q626" s="7">
        <v>1</v>
      </c>
    </row>
    <row r="627" spans="1:17" x14ac:dyDescent="0.55000000000000004">
      <c r="A627" s="7">
        <v>21</v>
      </c>
      <c r="B627" s="7">
        <v>2</v>
      </c>
      <c r="C627" s="7">
        <f>C626+1</f>
        <v>2</v>
      </c>
      <c r="D627" s="7">
        <v>1997.5</v>
      </c>
      <c r="E627" s="7" t="s">
        <v>538</v>
      </c>
      <c r="F627" s="7">
        <v>1</v>
      </c>
      <c r="G627" s="7">
        <v>1</v>
      </c>
      <c r="H627" s="7">
        <v>1</v>
      </c>
      <c r="I627" s="7">
        <v>1</v>
      </c>
      <c r="O627" s="7">
        <v>1</v>
      </c>
      <c r="P627" s="7">
        <v>1</v>
      </c>
    </row>
    <row r="628" spans="1:17" x14ac:dyDescent="0.55000000000000004">
      <c r="A628" s="7">
        <v>21</v>
      </c>
      <c r="B628" s="7">
        <v>2</v>
      </c>
      <c r="C628" s="7">
        <f t="shared" ref="C628:C649" si="26">C627+1</f>
        <v>3</v>
      </c>
      <c r="D628" s="7">
        <v>1501</v>
      </c>
      <c r="E628" s="7" t="s">
        <v>537</v>
      </c>
      <c r="F628" s="7">
        <v>1</v>
      </c>
      <c r="G628" s="7">
        <v>1</v>
      </c>
      <c r="H628" s="7">
        <v>1</v>
      </c>
      <c r="I628" s="7">
        <v>1</v>
      </c>
      <c r="P628" s="7">
        <v>1</v>
      </c>
    </row>
    <row r="629" spans="1:17" x14ac:dyDescent="0.55000000000000004">
      <c r="A629" s="7">
        <v>21</v>
      </c>
      <c r="B629" s="7">
        <v>2</v>
      </c>
      <c r="C629" s="7">
        <f t="shared" si="26"/>
        <v>4</v>
      </c>
      <c r="D629" s="7">
        <v>1000.2</v>
      </c>
      <c r="E629" s="7" t="s">
        <v>536</v>
      </c>
      <c r="F629" s="7">
        <v>1</v>
      </c>
      <c r="G629" s="7">
        <v>1</v>
      </c>
      <c r="H629" s="7">
        <v>1</v>
      </c>
      <c r="I629" s="7">
        <v>1</v>
      </c>
      <c r="O629" s="7">
        <v>1</v>
      </c>
      <c r="P629" s="7">
        <v>1</v>
      </c>
      <c r="Q629" s="7">
        <v>1</v>
      </c>
    </row>
    <row r="630" spans="1:17" x14ac:dyDescent="0.55000000000000004">
      <c r="A630" s="7">
        <v>21</v>
      </c>
      <c r="B630" s="7">
        <v>2</v>
      </c>
      <c r="C630" s="7">
        <f t="shared" si="26"/>
        <v>5</v>
      </c>
      <c r="D630" s="7">
        <v>750.7</v>
      </c>
      <c r="E630" s="7" t="s">
        <v>535</v>
      </c>
      <c r="G630" s="7">
        <v>1</v>
      </c>
      <c r="H630" s="7">
        <v>1</v>
      </c>
      <c r="I630" s="7">
        <v>1</v>
      </c>
      <c r="P630" s="7">
        <v>1</v>
      </c>
    </row>
    <row r="631" spans="1:17" x14ac:dyDescent="0.55000000000000004">
      <c r="A631" s="7">
        <v>21</v>
      </c>
      <c r="B631" s="7">
        <v>2</v>
      </c>
      <c r="C631" s="7">
        <f t="shared" si="26"/>
        <v>6</v>
      </c>
      <c r="D631" s="7">
        <v>500.8</v>
      </c>
      <c r="E631" s="7" t="s">
        <v>534</v>
      </c>
      <c r="G631" s="7">
        <v>1</v>
      </c>
      <c r="H631" s="7">
        <v>1</v>
      </c>
      <c r="I631" s="7">
        <v>1</v>
      </c>
      <c r="O631" s="7">
        <v>1</v>
      </c>
      <c r="P631" s="7">
        <v>1</v>
      </c>
      <c r="Q631" s="7">
        <v>1</v>
      </c>
    </row>
    <row r="632" spans="1:17" x14ac:dyDescent="0.55000000000000004">
      <c r="A632" s="7">
        <v>21</v>
      </c>
      <c r="B632" s="7">
        <v>2</v>
      </c>
      <c r="C632" s="7">
        <f t="shared" si="26"/>
        <v>7</v>
      </c>
      <c r="D632" s="7">
        <v>299.89999999999998</v>
      </c>
      <c r="E632" s="7" t="s">
        <v>533</v>
      </c>
      <c r="G632" s="7">
        <v>1</v>
      </c>
      <c r="H632" s="7">
        <v>1</v>
      </c>
      <c r="I632" s="7">
        <v>1</v>
      </c>
      <c r="P632" s="7">
        <v>1</v>
      </c>
      <c r="Q632" s="7">
        <v>1</v>
      </c>
    </row>
    <row r="633" spans="1:17" x14ac:dyDescent="0.55000000000000004">
      <c r="A633" s="7">
        <v>21</v>
      </c>
      <c r="B633" s="7">
        <v>2</v>
      </c>
      <c r="C633" s="7">
        <f t="shared" si="26"/>
        <v>8</v>
      </c>
      <c r="D633" s="7">
        <v>249.7</v>
      </c>
      <c r="E633" s="7" t="s">
        <v>532</v>
      </c>
      <c r="G633" s="7">
        <v>1</v>
      </c>
      <c r="H633" s="7">
        <v>1</v>
      </c>
      <c r="I633" s="7">
        <v>1</v>
      </c>
      <c r="O633" s="7">
        <v>1</v>
      </c>
      <c r="P633" s="7">
        <v>1</v>
      </c>
      <c r="Q633" s="7">
        <v>1</v>
      </c>
    </row>
    <row r="634" spans="1:17" x14ac:dyDescent="0.55000000000000004">
      <c r="A634" s="7">
        <v>21</v>
      </c>
      <c r="B634" s="7">
        <v>2</v>
      </c>
      <c r="C634" s="7">
        <f t="shared" si="26"/>
        <v>9</v>
      </c>
      <c r="D634" s="7">
        <v>199.8</v>
      </c>
      <c r="E634" s="7" t="s">
        <v>531</v>
      </c>
      <c r="F634" s="7">
        <v>1</v>
      </c>
      <c r="G634" s="7">
        <v>1</v>
      </c>
      <c r="H634" s="7">
        <v>1</v>
      </c>
      <c r="I634" s="7">
        <v>1</v>
      </c>
      <c r="P634" s="7">
        <v>1</v>
      </c>
      <c r="Q634" s="7">
        <v>1</v>
      </c>
    </row>
    <row r="635" spans="1:17" x14ac:dyDescent="0.55000000000000004">
      <c r="A635" s="7">
        <v>21</v>
      </c>
      <c r="B635" s="7">
        <v>2</v>
      </c>
      <c r="C635" s="7">
        <f t="shared" si="26"/>
        <v>10</v>
      </c>
      <c r="D635" s="7">
        <v>175.4</v>
      </c>
      <c r="E635" s="7" t="s">
        <v>530</v>
      </c>
      <c r="G635" s="7">
        <v>1</v>
      </c>
      <c r="H635" s="7">
        <v>1</v>
      </c>
      <c r="I635" s="7">
        <v>1</v>
      </c>
      <c r="P635" s="7">
        <v>1</v>
      </c>
    </row>
    <row r="636" spans="1:17" x14ac:dyDescent="0.55000000000000004">
      <c r="A636" s="7">
        <v>21</v>
      </c>
      <c r="B636" s="7">
        <v>2</v>
      </c>
      <c r="C636" s="7">
        <f t="shared" si="26"/>
        <v>11</v>
      </c>
      <c r="D636" s="7">
        <v>150.4</v>
      </c>
      <c r="E636" s="7" t="s">
        <v>529</v>
      </c>
      <c r="G636" s="7">
        <v>1</v>
      </c>
      <c r="H636" s="7">
        <v>1</v>
      </c>
      <c r="I636" s="7">
        <v>1</v>
      </c>
      <c r="O636" s="7">
        <v>1</v>
      </c>
      <c r="P636" s="7">
        <v>1</v>
      </c>
      <c r="Q636" s="7">
        <v>1</v>
      </c>
    </row>
    <row r="637" spans="1:17" x14ac:dyDescent="0.55000000000000004">
      <c r="A637" s="7">
        <v>21</v>
      </c>
      <c r="B637" s="7">
        <v>2</v>
      </c>
      <c r="C637" s="7">
        <f t="shared" si="26"/>
        <v>12</v>
      </c>
      <c r="D637" s="7">
        <v>129.80000000000001</v>
      </c>
      <c r="E637" s="7" t="s">
        <v>528</v>
      </c>
      <c r="G637" s="7">
        <v>1</v>
      </c>
      <c r="H637" s="7">
        <v>1</v>
      </c>
      <c r="I637" s="7">
        <v>1</v>
      </c>
      <c r="P637" s="7">
        <v>1</v>
      </c>
    </row>
    <row r="638" spans="1:17" x14ac:dyDescent="0.55000000000000004">
      <c r="A638" s="7">
        <v>21</v>
      </c>
      <c r="B638" s="7">
        <v>2</v>
      </c>
      <c r="C638" s="7">
        <f t="shared" si="26"/>
        <v>13</v>
      </c>
      <c r="D638" s="7">
        <v>115</v>
      </c>
      <c r="E638" s="7" t="s">
        <v>527</v>
      </c>
      <c r="G638" s="7">
        <v>1</v>
      </c>
      <c r="H638" s="7">
        <v>1</v>
      </c>
      <c r="I638" s="7">
        <v>1</v>
      </c>
      <c r="P638" s="7">
        <v>1</v>
      </c>
    </row>
    <row r="639" spans="1:17" x14ac:dyDescent="0.55000000000000004">
      <c r="A639" s="7">
        <v>21</v>
      </c>
      <c r="B639" s="7">
        <v>2</v>
      </c>
      <c r="C639" s="7">
        <f t="shared" si="26"/>
        <v>14</v>
      </c>
      <c r="D639" s="7">
        <v>99.7</v>
      </c>
      <c r="E639" s="7" t="s">
        <v>526</v>
      </c>
      <c r="G639" s="7">
        <v>1</v>
      </c>
      <c r="H639" s="7">
        <v>1</v>
      </c>
      <c r="I639" s="7">
        <v>1</v>
      </c>
      <c r="O639" s="7">
        <v>1</v>
      </c>
      <c r="P639" s="7">
        <v>1</v>
      </c>
      <c r="Q639" s="7">
        <v>1</v>
      </c>
    </row>
    <row r="640" spans="1:17" x14ac:dyDescent="0.55000000000000004">
      <c r="A640" s="7">
        <v>21</v>
      </c>
      <c r="B640" s="7">
        <v>2</v>
      </c>
      <c r="C640" s="7">
        <f t="shared" si="26"/>
        <v>15</v>
      </c>
      <c r="D640" s="7">
        <v>85</v>
      </c>
      <c r="E640" s="7" t="s">
        <v>525</v>
      </c>
      <c r="G640" s="7">
        <v>1</v>
      </c>
      <c r="H640" s="7">
        <v>1</v>
      </c>
      <c r="I640" s="7">
        <v>1</v>
      </c>
      <c r="P640" s="7">
        <v>1</v>
      </c>
    </row>
    <row r="641" spans="1:20" x14ac:dyDescent="0.55000000000000004">
      <c r="A641" s="7">
        <v>21</v>
      </c>
      <c r="B641" s="7">
        <v>2</v>
      </c>
      <c r="C641" s="7">
        <f t="shared" si="26"/>
        <v>16</v>
      </c>
      <c r="D641" s="7">
        <v>70.400000000000006</v>
      </c>
      <c r="E641" s="7" t="s">
        <v>524</v>
      </c>
      <c r="G641" s="7">
        <v>1</v>
      </c>
      <c r="H641" s="7">
        <v>1</v>
      </c>
      <c r="I641" s="7">
        <v>1</v>
      </c>
      <c r="O641" s="7">
        <v>1</v>
      </c>
      <c r="P641" s="7">
        <v>1</v>
      </c>
    </row>
    <row r="642" spans="1:20" x14ac:dyDescent="0.55000000000000004">
      <c r="A642" s="7">
        <v>21</v>
      </c>
      <c r="B642" s="7">
        <v>2</v>
      </c>
      <c r="C642" s="7">
        <f t="shared" si="26"/>
        <v>17</v>
      </c>
      <c r="D642" s="7">
        <v>55.2</v>
      </c>
      <c r="E642" s="7" t="s">
        <v>523</v>
      </c>
      <c r="G642" s="7">
        <v>1</v>
      </c>
      <c r="H642" s="7">
        <v>1</v>
      </c>
      <c r="I642" s="7">
        <v>1</v>
      </c>
      <c r="J642" s="7">
        <v>1</v>
      </c>
      <c r="O642" s="7">
        <v>1</v>
      </c>
      <c r="P642" s="7">
        <v>1</v>
      </c>
    </row>
    <row r="643" spans="1:20" x14ac:dyDescent="0.55000000000000004">
      <c r="A643" s="7">
        <v>21</v>
      </c>
      <c r="B643" s="7">
        <v>2</v>
      </c>
      <c r="C643" s="7">
        <f t="shared" si="26"/>
        <v>18</v>
      </c>
      <c r="D643" s="7">
        <v>40</v>
      </c>
      <c r="E643" s="7" t="s">
        <v>522</v>
      </c>
      <c r="F643" s="7">
        <v>1</v>
      </c>
      <c r="G643" s="7">
        <v>1</v>
      </c>
      <c r="H643" s="7">
        <v>1</v>
      </c>
      <c r="I643" s="7">
        <v>1</v>
      </c>
      <c r="J643" s="7">
        <v>1</v>
      </c>
      <c r="P643" s="7">
        <v>1</v>
      </c>
    </row>
    <row r="644" spans="1:20" x14ac:dyDescent="0.55000000000000004">
      <c r="A644" s="7">
        <v>21</v>
      </c>
      <c r="B644" s="7">
        <v>2</v>
      </c>
      <c r="C644" s="7">
        <f t="shared" si="26"/>
        <v>19</v>
      </c>
      <c r="D644" s="7">
        <v>40</v>
      </c>
      <c r="E644" s="7" t="s">
        <v>522</v>
      </c>
    </row>
    <row r="645" spans="1:20" x14ac:dyDescent="0.55000000000000004">
      <c r="A645" s="7">
        <v>21</v>
      </c>
      <c r="B645" s="7">
        <v>2</v>
      </c>
      <c r="C645" s="7">
        <f t="shared" si="26"/>
        <v>20</v>
      </c>
      <c r="D645" s="7">
        <v>30.1</v>
      </c>
      <c r="E645" s="7" t="s">
        <v>521</v>
      </c>
      <c r="F645" s="7">
        <v>1</v>
      </c>
      <c r="G645" s="7">
        <v>1</v>
      </c>
      <c r="H645" s="7">
        <v>1</v>
      </c>
      <c r="I645" s="7">
        <v>1</v>
      </c>
      <c r="J645" s="7">
        <v>1</v>
      </c>
      <c r="O645" s="7">
        <v>1</v>
      </c>
      <c r="P645" s="7">
        <v>1</v>
      </c>
    </row>
    <row r="646" spans="1:20" x14ac:dyDescent="0.55000000000000004">
      <c r="A646" s="7">
        <v>21</v>
      </c>
      <c r="B646" s="7">
        <v>2</v>
      </c>
      <c r="C646" s="7">
        <f t="shared" si="26"/>
        <v>21</v>
      </c>
      <c r="D646" s="7">
        <v>20</v>
      </c>
      <c r="E646" s="7" t="s">
        <v>520</v>
      </c>
      <c r="G646" s="7">
        <v>1</v>
      </c>
      <c r="H646" s="7">
        <v>1</v>
      </c>
      <c r="I646" s="7">
        <v>1</v>
      </c>
      <c r="J646" s="7">
        <v>1</v>
      </c>
      <c r="P646" s="7">
        <v>1</v>
      </c>
      <c r="Q646" s="7">
        <v>1</v>
      </c>
    </row>
    <row r="647" spans="1:20" x14ac:dyDescent="0.55000000000000004">
      <c r="A647" s="7">
        <v>21</v>
      </c>
      <c r="B647" s="7">
        <v>2</v>
      </c>
      <c r="C647" s="7">
        <f t="shared" si="26"/>
        <v>22</v>
      </c>
      <c r="D647" s="7">
        <v>10.3</v>
      </c>
      <c r="E647" s="7" t="s">
        <v>519</v>
      </c>
      <c r="G647" s="7">
        <v>1</v>
      </c>
      <c r="H647" s="7">
        <v>1</v>
      </c>
      <c r="I647" s="7">
        <v>1</v>
      </c>
      <c r="J647" s="7">
        <v>1</v>
      </c>
      <c r="O647" s="7">
        <v>1</v>
      </c>
      <c r="P647" s="7">
        <v>1</v>
      </c>
      <c r="T647" s="7" t="s">
        <v>540</v>
      </c>
    </row>
    <row r="648" spans="1:20" x14ac:dyDescent="0.55000000000000004">
      <c r="A648" s="7">
        <v>21</v>
      </c>
      <c r="B648" s="7">
        <v>2</v>
      </c>
      <c r="C648" s="7">
        <f t="shared" si="26"/>
        <v>23</v>
      </c>
      <c r="D648" s="7">
        <v>2.8</v>
      </c>
      <c r="E648" s="7" t="s">
        <v>518</v>
      </c>
      <c r="S648" s="7">
        <v>1</v>
      </c>
    </row>
    <row r="649" spans="1:20" x14ac:dyDescent="0.55000000000000004">
      <c r="A649" s="7">
        <v>21</v>
      </c>
      <c r="B649" s="7">
        <v>2</v>
      </c>
      <c r="C649" s="7">
        <f t="shared" si="26"/>
        <v>24</v>
      </c>
      <c r="D649" s="7">
        <v>2.8</v>
      </c>
      <c r="E649" s="7" t="s">
        <v>518</v>
      </c>
      <c r="F649" s="7">
        <v>1</v>
      </c>
      <c r="G649" s="7">
        <v>1</v>
      </c>
      <c r="H649" s="7">
        <v>1</v>
      </c>
      <c r="I649" s="7">
        <v>1</v>
      </c>
      <c r="J649" s="7">
        <v>1</v>
      </c>
      <c r="O649" s="7">
        <v>1</v>
      </c>
      <c r="P649" s="7">
        <v>1</v>
      </c>
      <c r="Q649" s="7">
        <v>1</v>
      </c>
      <c r="R649" s="7">
        <v>1</v>
      </c>
    </row>
    <row r="650" spans="1:20" x14ac:dyDescent="0.55000000000000004">
      <c r="A650" s="7">
        <v>22</v>
      </c>
      <c r="B650" s="7">
        <v>1</v>
      </c>
      <c r="C650" s="7">
        <v>1</v>
      </c>
      <c r="D650" s="7">
        <v>1200</v>
      </c>
      <c r="E650" s="7" t="s">
        <v>574</v>
      </c>
      <c r="G650" s="7">
        <v>1</v>
      </c>
      <c r="I650" s="7">
        <v>1</v>
      </c>
    </row>
    <row r="651" spans="1:20" x14ac:dyDescent="0.55000000000000004">
      <c r="A651" s="7">
        <v>22</v>
      </c>
      <c r="B651" s="7">
        <v>1</v>
      </c>
      <c r="C651" s="7">
        <f>C650+1</f>
        <v>2</v>
      </c>
      <c r="D651" s="7">
        <v>1200</v>
      </c>
      <c r="E651" s="7" t="s">
        <v>574</v>
      </c>
    </row>
    <row r="652" spans="1:20" x14ac:dyDescent="0.55000000000000004">
      <c r="A652" s="7">
        <v>22</v>
      </c>
      <c r="B652" s="7">
        <v>1</v>
      </c>
      <c r="C652" s="7">
        <f t="shared" ref="C652:C673" si="27">C651+1</f>
        <v>3</v>
      </c>
      <c r="D652" s="7">
        <v>1000</v>
      </c>
      <c r="E652" s="7" t="s">
        <v>576</v>
      </c>
      <c r="G652" s="7">
        <v>1</v>
      </c>
      <c r="I652" s="7">
        <v>1</v>
      </c>
    </row>
    <row r="653" spans="1:20" x14ac:dyDescent="0.55000000000000004">
      <c r="A653" s="7">
        <v>22</v>
      </c>
      <c r="B653" s="7">
        <v>1</v>
      </c>
      <c r="C653" s="7">
        <f t="shared" si="27"/>
        <v>4</v>
      </c>
      <c r="D653" s="7">
        <v>750</v>
      </c>
      <c r="E653" s="7" t="s">
        <v>575</v>
      </c>
      <c r="G653" s="7">
        <v>1</v>
      </c>
      <c r="I653" s="7">
        <v>1</v>
      </c>
    </row>
    <row r="654" spans="1:20" x14ac:dyDescent="0.55000000000000004">
      <c r="A654" s="7">
        <v>22</v>
      </c>
      <c r="B654" s="7">
        <v>1</v>
      </c>
      <c r="C654" s="7">
        <f t="shared" si="27"/>
        <v>5</v>
      </c>
      <c r="D654" s="7">
        <v>498</v>
      </c>
      <c r="E654" s="7" t="s">
        <v>577</v>
      </c>
      <c r="G654" s="7">
        <v>1</v>
      </c>
      <c r="H654" s="7">
        <v>1</v>
      </c>
      <c r="I654" s="7">
        <v>1</v>
      </c>
      <c r="P654" s="7">
        <v>1</v>
      </c>
    </row>
    <row r="655" spans="1:20" x14ac:dyDescent="0.55000000000000004">
      <c r="A655" s="7">
        <v>22</v>
      </c>
      <c r="B655" s="7">
        <v>1</v>
      </c>
      <c r="C655" s="7">
        <f t="shared" si="27"/>
        <v>6</v>
      </c>
      <c r="D655" s="7">
        <v>299.10000000000002</v>
      </c>
      <c r="E655" s="7" t="s">
        <v>578</v>
      </c>
      <c r="G655" s="7">
        <v>1</v>
      </c>
      <c r="H655" s="7">
        <v>1</v>
      </c>
      <c r="I655" s="7">
        <v>1</v>
      </c>
      <c r="P655" s="7">
        <v>1</v>
      </c>
    </row>
    <row r="656" spans="1:20" x14ac:dyDescent="0.55000000000000004">
      <c r="A656" s="7">
        <v>22</v>
      </c>
      <c r="B656" s="7">
        <v>1</v>
      </c>
      <c r="C656" s="7">
        <f t="shared" si="27"/>
        <v>7</v>
      </c>
      <c r="D656" s="7">
        <v>250</v>
      </c>
      <c r="E656" s="7" t="s">
        <v>579</v>
      </c>
      <c r="G656" s="7">
        <v>1</v>
      </c>
      <c r="H656" s="7">
        <v>1</v>
      </c>
      <c r="I656" s="7">
        <v>1</v>
      </c>
      <c r="P656" s="7">
        <v>1</v>
      </c>
    </row>
    <row r="657" spans="1:16" x14ac:dyDescent="0.55000000000000004">
      <c r="A657" s="7">
        <v>22</v>
      </c>
      <c r="B657" s="7">
        <v>1</v>
      </c>
      <c r="C657" s="7">
        <f t="shared" si="27"/>
        <v>8</v>
      </c>
      <c r="D657" s="7">
        <v>200</v>
      </c>
      <c r="E657" s="7" t="s">
        <v>580</v>
      </c>
      <c r="G657" s="7">
        <v>1</v>
      </c>
      <c r="H657" s="7">
        <v>1</v>
      </c>
      <c r="I657" s="7">
        <v>1</v>
      </c>
      <c r="P657" s="7">
        <v>1</v>
      </c>
    </row>
    <row r="658" spans="1:16" x14ac:dyDescent="0.55000000000000004">
      <c r="A658" s="7">
        <v>22</v>
      </c>
      <c r="B658" s="7">
        <v>1</v>
      </c>
      <c r="C658" s="7">
        <f t="shared" si="27"/>
        <v>9</v>
      </c>
      <c r="D658" s="7">
        <v>175.2</v>
      </c>
      <c r="E658" s="7" t="s">
        <v>581</v>
      </c>
      <c r="G658" s="7">
        <v>1</v>
      </c>
      <c r="H658" s="7">
        <v>1</v>
      </c>
      <c r="I658" s="7">
        <v>1</v>
      </c>
      <c r="P658" s="7">
        <v>1</v>
      </c>
    </row>
    <row r="659" spans="1:16" x14ac:dyDescent="0.55000000000000004">
      <c r="A659" s="7">
        <v>22</v>
      </c>
      <c r="B659" s="7">
        <v>1</v>
      </c>
      <c r="C659" s="7">
        <f t="shared" si="27"/>
        <v>10</v>
      </c>
      <c r="D659" s="7">
        <v>150</v>
      </c>
      <c r="E659" s="7" t="s">
        <v>582</v>
      </c>
      <c r="G659" s="7">
        <v>1</v>
      </c>
      <c r="H659" s="7">
        <v>1</v>
      </c>
      <c r="I659" s="7">
        <v>1</v>
      </c>
      <c r="P659" s="7">
        <v>1</v>
      </c>
    </row>
    <row r="660" spans="1:16" x14ac:dyDescent="0.55000000000000004">
      <c r="A660" s="7">
        <v>22</v>
      </c>
      <c r="B660" s="7">
        <v>1</v>
      </c>
      <c r="C660" s="7">
        <f t="shared" si="27"/>
        <v>11</v>
      </c>
      <c r="D660" s="7">
        <v>130</v>
      </c>
      <c r="E660" s="7" t="s">
        <v>583</v>
      </c>
      <c r="G660" s="7">
        <v>1</v>
      </c>
      <c r="H660" s="7">
        <v>1</v>
      </c>
      <c r="I660" s="7">
        <v>1</v>
      </c>
      <c r="P660" s="7">
        <v>1</v>
      </c>
    </row>
    <row r="661" spans="1:16" x14ac:dyDescent="0.55000000000000004">
      <c r="A661" s="7">
        <v>22</v>
      </c>
      <c r="B661" s="7">
        <v>1</v>
      </c>
      <c r="C661" s="7">
        <f t="shared" si="27"/>
        <v>12</v>
      </c>
      <c r="D661" s="7">
        <v>115.3</v>
      </c>
      <c r="E661" s="7" t="s">
        <v>584</v>
      </c>
      <c r="G661" s="7">
        <v>1</v>
      </c>
      <c r="H661" s="7">
        <v>1</v>
      </c>
      <c r="I661" s="7">
        <v>1</v>
      </c>
      <c r="P661" s="7">
        <v>1</v>
      </c>
    </row>
    <row r="662" spans="1:16" x14ac:dyDescent="0.55000000000000004">
      <c r="A662" s="7">
        <v>22</v>
      </c>
      <c r="B662" s="7">
        <v>1</v>
      </c>
      <c r="C662" s="7">
        <f t="shared" si="27"/>
        <v>13</v>
      </c>
      <c r="D662" s="7">
        <v>100</v>
      </c>
      <c r="E662" s="7" t="s">
        <v>585</v>
      </c>
      <c r="G662" s="7">
        <v>1</v>
      </c>
      <c r="H662" s="7">
        <v>1</v>
      </c>
      <c r="I662" s="7">
        <v>1</v>
      </c>
      <c r="P662" s="7">
        <v>1</v>
      </c>
    </row>
    <row r="663" spans="1:16" x14ac:dyDescent="0.55000000000000004">
      <c r="A663" s="7">
        <v>22</v>
      </c>
      <c r="B663" s="7">
        <v>1</v>
      </c>
      <c r="C663" s="7">
        <f t="shared" si="27"/>
        <v>14</v>
      </c>
      <c r="D663" s="7">
        <v>85</v>
      </c>
      <c r="E663" s="7" t="s">
        <v>586</v>
      </c>
      <c r="G663" s="7">
        <v>1</v>
      </c>
      <c r="H663" s="7">
        <v>1</v>
      </c>
      <c r="I663" s="7">
        <v>1</v>
      </c>
      <c r="P663" s="7">
        <v>1</v>
      </c>
    </row>
    <row r="664" spans="1:16" x14ac:dyDescent="0.55000000000000004">
      <c r="A664" s="7">
        <v>22</v>
      </c>
      <c r="B664" s="7">
        <v>1</v>
      </c>
      <c r="C664" s="7">
        <f t="shared" si="27"/>
        <v>15</v>
      </c>
      <c r="D664" s="7">
        <v>70.099999999999994</v>
      </c>
      <c r="E664" s="7" t="s">
        <v>587</v>
      </c>
      <c r="G664" s="7">
        <v>1</v>
      </c>
      <c r="H664" s="7">
        <v>1</v>
      </c>
      <c r="I664" s="7">
        <v>1</v>
      </c>
      <c r="P664" s="7">
        <v>1</v>
      </c>
    </row>
    <row r="665" spans="1:16" x14ac:dyDescent="0.55000000000000004">
      <c r="A665" s="7">
        <v>22</v>
      </c>
      <c r="B665" s="7">
        <v>1</v>
      </c>
      <c r="C665" s="7">
        <f t="shared" si="27"/>
        <v>16</v>
      </c>
      <c r="D665" s="7">
        <v>55</v>
      </c>
      <c r="E665" s="7" t="s">
        <v>588</v>
      </c>
      <c r="G665" s="7">
        <v>1</v>
      </c>
      <c r="H665" s="7">
        <v>1</v>
      </c>
      <c r="I665" s="7">
        <v>1</v>
      </c>
      <c r="J665" s="7">
        <v>1</v>
      </c>
      <c r="P665" s="7">
        <v>1</v>
      </c>
    </row>
    <row r="666" spans="1:16" x14ac:dyDescent="0.55000000000000004">
      <c r="A666" s="7">
        <v>22</v>
      </c>
      <c r="B666" s="7">
        <v>1</v>
      </c>
      <c r="C666" s="7">
        <f t="shared" si="27"/>
        <v>17</v>
      </c>
      <c r="D666" s="7">
        <v>40</v>
      </c>
      <c r="E666" s="7" t="s">
        <v>589</v>
      </c>
      <c r="G666" s="7">
        <v>1</v>
      </c>
      <c r="H666" s="7">
        <v>1</v>
      </c>
      <c r="I666" s="7">
        <v>1</v>
      </c>
      <c r="J666" s="7">
        <v>1</v>
      </c>
      <c r="P666" s="7">
        <v>1</v>
      </c>
    </row>
    <row r="667" spans="1:16" x14ac:dyDescent="0.55000000000000004">
      <c r="A667" s="7">
        <v>22</v>
      </c>
      <c r="B667" s="7">
        <v>1</v>
      </c>
      <c r="C667" s="7">
        <f t="shared" si="27"/>
        <v>18</v>
      </c>
      <c r="D667" s="7">
        <v>40</v>
      </c>
      <c r="E667" s="7" t="s">
        <v>589</v>
      </c>
      <c r="P667" s="7">
        <v>1</v>
      </c>
    </row>
    <row r="668" spans="1:16" x14ac:dyDescent="0.55000000000000004">
      <c r="A668" s="7">
        <v>22</v>
      </c>
      <c r="B668" s="7">
        <v>1</v>
      </c>
      <c r="C668" s="7">
        <f t="shared" si="27"/>
        <v>19</v>
      </c>
      <c r="D668" s="7">
        <v>30</v>
      </c>
      <c r="E668" s="7" t="s">
        <v>590</v>
      </c>
      <c r="G668" s="7">
        <v>1</v>
      </c>
      <c r="H668" s="7">
        <v>1</v>
      </c>
      <c r="I668" s="7">
        <v>1</v>
      </c>
      <c r="J668" s="7">
        <v>1</v>
      </c>
      <c r="P668" s="7">
        <v>1</v>
      </c>
    </row>
    <row r="669" spans="1:16" x14ac:dyDescent="0.55000000000000004">
      <c r="A669" s="7">
        <v>22</v>
      </c>
      <c r="B669" s="7">
        <v>1</v>
      </c>
      <c r="C669" s="7">
        <f t="shared" si="27"/>
        <v>20</v>
      </c>
      <c r="D669" s="7">
        <v>20</v>
      </c>
      <c r="E669" s="7" t="s">
        <v>591</v>
      </c>
      <c r="G669" s="7">
        <v>1</v>
      </c>
      <c r="H669" s="7">
        <v>1</v>
      </c>
      <c r="I669" s="7">
        <v>1</v>
      </c>
      <c r="J669" s="7">
        <v>1</v>
      </c>
      <c r="P669" s="7">
        <v>1</v>
      </c>
    </row>
    <row r="670" spans="1:16" x14ac:dyDescent="0.55000000000000004">
      <c r="A670" s="7">
        <v>22</v>
      </c>
      <c r="B670" s="7">
        <v>1</v>
      </c>
      <c r="C670" s="7">
        <f t="shared" si="27"/>
        <v>21</v>
      </c>
      <c r="D670" s="7">
        <v>10.199999999999999</v>
      </c>
      <c r="E670" s="7" t="s">
        <v>592</v>
      </c>
      <c r="G670" s="7">
        <v>1</v>
      </c>
      <c r="H670" s="7">
        <v>1</v>
      </c>
      <c r="I670" s="7">
        <v>1</v>
      </c>
      <c r="J670" s="7">
        <v>1</v>
      </c>
      <c r="P670" s="7">
        <v>1</v>
      </c>
    </row>
    <row r="671" spans="1:16" x14ac:dyDescent="0.55000000000000004">
      <c r="A671" s="7">
        <v>22</v>
      </c>
      <c r="B671" s="7">
        <v>1</v>
      </c>
      <c r="C671" s="7">
        <f t="shared" si="27"/>
        <v>22</v>
      </c>
      <c r="D671" s="7">
        <v>5.5</v>
      </c>
      <c r="E671" s="7" t="s">
        <v>593</v>
      </c>
    </row>
    <row r="672" spans="1:16" x14ac:dyDescent="0.55000000000000004">
      <c r="A672" s="7">
        <v>22</v>
      </c>
      <c r="B672" s="7">
        <v>1</v>
      </c>
      <c r="C672" s="7">
        <f t="shared" si="27"/>
        <v>23</v>
      </c>
      <c r="D672" s="7">
        <v>5.5</v>
      </c>
      <c r="E672" s="7" t="s">
        <v>593</v>
      </c>
    </row>
    <row r="673" spans="1:20" x14ac:dyDescent="0.55000000000000004">
      <c r="A673" s="7">
        <v>22</v>
      </c>
      <c r="B673" s="7">
        <v>1</v>
      </c>
      <c r="C673" s="7">
        <f t="shared" si="27"/>
        <v>24</v>
      </c>
      <c r="D673" s="7">
        <v>5.5</v>
      </c>
      <c r="E673" s="7" t="s">
        <v>593</v>
      </c>
      <c r="G673" s="7">
        <v>1</v>
      </c>
      <c r="H673" s="7">
        <v>1</v>
      </c>
      <c r="I673" s="7">
        <v>1</v>
      </c>
      <c r="J673" s="7">
        <v>1</v>
      </c>
      <c r="P673" s="7">
        <v>1</v>
      </c>
      <c r="Q673" s="7">
        <v>1</v>
      </c>
      <c r="R673" s="7">
        <v>1</v>
      </c>
      <c r="T673" s="7" t="s">
        <v>594</v>
      </c>
    </row>
    <row r="674" spans="1:20" x14ac:dyDescent="0.55000000000000004">
      <c r="A674" s="7">
        <v>23</v>
      </c>
      <c r="B674" s="7">
        <v>1</v>
      </c>
      <c r="C674" s="7">
        <v>1</v>
      </c>
      <c r="D674" s="7">
        <v>1199.5</v>
      </c>
      <c r="E674" s="33" t="s">
        <v>1015</v>
      </c>
    </row>
    <row r="675" spans="1:20" x14ac:dyDescent="0.55000000000000004">
      <c r="A675" s="7">
        <v>23</v>
      </c>
      <c r="B675" s="7">
        <v>1</v>
      </c>
      <c r="C675" s="7">
        <f>C674+1</f>
        <v>2</v>
      </c>
      <c r="D675" s="7">
        <v>1199.5</v>
      </c>
      <c r="E675" s="33" t="s">
        <v>1015</v>
      </c>
      <c r="G675" s="7">
        <v>1</v>
      </c>
      <c r="I675" s="7">
        <v>1</v>
      </c>
    </row>
    <row r="676" spans="1:20" x14ac:dyDescent="0.55000000000000004">
      <c r="A676" s="7">
        <v>23</v>
      </c>
      <c r="B676" s="7">
        <v>1</v>
      </c>
      <c r="C676" s="7">
        <f t="shared" ref="C676:C697" si="28">C675+1</f>
        <v>3</v>
      </c>
      <c r="D676" s="7">
        <v>1000.7</v>
      </c>
      <c r="E676" s="33" t="s">
        <v>1016</v>
      </c>
      <c r="G676" s="7">
        <v>1</v>
      </c>
      <c r="I676" s="7">
        <v>1</v>
      </c>
    </row>
    <row r="677" spans="1:20" x14ac:dyDescent="0.55000000000000004">
      <c r="A677" s="7">
        <v>23</v>
      </c>
      <c r="B677" s="7">
        <v>1</v>
      </c>
      <c r="C677" s="7">
        <f t="shared" si="28"/>
        <v>4</v>
      </c>
      <c r="D677" s="7">
        <v>749.8</v>
      </c>
      <c r="E677" s="33" t="s">
        <v>1017</v>
      </c>
      <c r="G677" s="7">
        <v>1</v>
      </c>
      <c r="I677" s="7">
        <v>1</v>
      </c>
    </row>
    <row r="678" spans="1:20" x14ac:dyDescent="0.55000000000000004">
      <c r="A678" s="7">
        <v>23</v>
      </c>
      <c r="B678" s="7">
        <v>1</v>
      </c>
      <c r="C678" s="7">
        <f t="shared" si="28"/>
        <v>5</v>
      </c>
      <c r="D678" s="7">
        <v>499.7</v>
      </c>
      <c r="E678" s="33" t="s">
        <v>1018</v>
      </c>
      <c r="G678" s="7">
        <v>1</v>
      </c>
      <c r="I678" s="7">
        <v>1</v>
      </c>
    </row>
    <row r="679" spans="1:20" x14ac:dyDescent="0.55000000000000004">
      <c r="A679" s="7">
        <v>23</v>
      </c>
      <c r="B679" s="7">
        <v>1</v>
      </c>
      <c r="C679" s="7">
        <f t="shared" si="28"/>
        <v>6</v>
      </c>
      <c r="D679" s="7">
        <v>300.39999999999998</v>
      </c>
      <c r="E679" s="33" t="s">
        <v>1019</v>
      </c>
      <c r="G679" s="7">
        <v>1</v>
      </c>
      <c r="H679" s="7">
        <v>1</v>
      </c>
      <c r="I679" s="7">
        <v>1</v>
      </c>
      <c r="P679" s="7">
        <v>1</v>
      </c>
    </row>
    <row r="680" spans="1:20" x14ac:dyDescent="0.55000000000000004">
      <c r="A680" s="7">
        <v>23</v>
      </c>
      <c r="B680" s="7">
        <v>1</v>
      </c>
      <c r="C680" s="7">
        <f t="shared" si="28"/>
        <v>7</v>
      </c>
      <c r="D680" s="7">
        <v>250.6</v>
      </c>
      <c r="E680" s="33" t="s">
        <v>1020</v>
      </c>
      <c r="G680" s="7">
        <v>1</v>
      </c>
      <c r="H680" s="7">
        <v>1</v>
      </c>
      <c r="I680" s="7">
        <v>1</v>
      </c>
      <c r="P680" s="7">
        <v>1</v>
      </c>
    </row>
    <row r="681" spans="1:20" x14ac:dyDescent="0.55000000000000004">
      <c r="A681" s="7">
        <v>23</v>
      </c>
      <c r="B681" s="7">
        <v>1</v>
      </c>
      <c r="C681" s="7">
        <f t="shared" si="28"/>
        <v>8</v>
      </c>
      <c r="D681" s="7">
        <v>200.5</v>
      </c>
      <c r="E681" s="33" t="s">
        <v>1021</v>
      </c>
      <c r="G681" s="7">
        <v>1</v>
      </c>
      <c r="H681" s="7">
        <v>1</v>
      </c>
      <c r="I681" s="7">
        <v>1</v>
      </c>
      <c r="P681" s="7">
        <v>1</v>
      </c>
    </row>
    <row r="682" spans="1:20" x14ac:dyDescent="0.55000000000000004">
      <c r="A682" s="7">
        <v>23</v>
      </c>
      <c r="B682" s="7">
        <v>1</v>
      </c>
      <c r="C682" s="7">
        <f t="shared" si="28"/>
        <v>9</v>
      </c>
      <c r="D682" s="7">
        <v>174.9</v>
      </c>
      <c r="E682" s="33" t="s">
        <v>1022</v>
      </c>
      <c r="G682" s="7">
        <v>1</v>
      </c>
      <c r="H682" s="7">
        <v>1</v>
      </c>
      <c r="I682" s="7">
        <v>1</v>
      </c>
      <c r="P682" s="7">
        <v>1</v>
      </c>
    </row>
    <row r="683" spans="1:20" x14ac:dyDescent="0.55000000000000004">
      <c r="A683" s="7">
        <v>23</v>
      </c>
      <c r="B683" s="7">
        <v>1</v>
      </c>
      <c r="C683" s="7">
        <f t="shared" si="28"/>
        <v>10</v>
      </c>
      <c r="D683" s="7">
        <v>149.5</v>
      </c>
      <c r="E683" s="33" t="s">
        <v>1023</v>
      </c>
      <c r="G683" s="7">
        <v>1</v>
      </c>
      <c r="H683" s="7">
        <v>1</v>
      </c>
      <c r="I683" s="7">
        <v>1</v>
      </c>
      <c r="P683" s="7">
        <v>1</v>
      </c>
    </row>
    <row r="684" spans="1:20" x14ac:dyDescent="0.55000000000000004">
      <c r="A684" s="7">
        <v>23</v>
      </c>
      <c r="B684" s="7">
        <v>1</v>
      </c>
      <c r="C684" s="7">
        <f t="shared" si="28"/>
        <v>11</v>
      </c>
      <c r="D684" s="7">
        <v>129.69999999999999</v>
      </c>
      <c r="E684" s="33" t="s">
        <v>1024</v>
      </c>
      <c r="G684" s="7">
        <v>1</v>
      </c>
      <c r="H684" s="7">
        <v>1</v>
      </c>
      <c r="I684" s="7">
        <v>1</v>
      </c>
      <c r="P684" s="7">
        <v>1</v>
      </c>
    </row>
    <row r="685" spans="1:20" x14ac:dyDescent="0.55000000000000004">
      <c r="A685" s="7">
        <v>23</v>
      </c>
      <c r="B685" s="7">
        <v>1</v>
      </c>
      <c r="C685" s="7">
        <f t="shared" si="28"/>
        <v>12</v>
      </c>
      <c r="D685" s="7">
        <v>114.6</v>
      </c>
      <c r="E685" s="33" t="s">
        <v>1025</v>
      </c>
      <c r="G685" s="7">
        <v>1</v>
      </c>
      <c r="H685" s="7">
        <v>1</v>
      </c>
      <c r="I685" s="7">
        <v>1</v>
      </c>
      <c r="P685" s="7">
        <v>1</v>
      </c>
    </row>
    <row r="686" spans="1:20" x14ac:dyDescent="0.55000000000000004">
      <c r="A686" s="7">
        <v>23</v>
      </c>
      <c r="B686" s="7">
        <v>1</v>
      </c>
      <c r="C686" s="7">
        <f t="shared" si="28"/>
        <v>13</v>
      </c>
      <c r="D686" s="7">
        <v>100.5</v>
      </c>
      <c r="E686" s="33" t="s">
        <v>1026</v>
      </c>
      <c r="G686" s="7">
        <v>1</v>
      </c>
      <c r="H686" s="7">
        <v>1</v>
      </c>
      <c r="I686" s="7">
        <v>1</v>
      </c>
      <c r="P686" s="7">
        <v>1</v>
      </c>
    </row>
    <row r="687" spans="1:20" x14ac:dyDescent="0.55000000000000004">
      <c r="A687" s="7">
        <v>23</v>
      </c>
      <c r="B687" s="7">
        <v>1</v>
      </c>
      <c r="C687" s="7">
        <f t="shared" si="28"/>
        <v>14</v>
      </c>
      <c r="D687" s="7">
        <v>85</v>
      </c>
      <c r="E687" s="33" t="s">
        <v>1027</v>
      </c>
      <c r="G687" s="7">
        <v>1</v>
      </c>
      <c r="H687" s="7">
        <v>1</v>
      </c>
      <c r="I687" s="7">
        <v>1</v>
      </c>
      <c r="P687" s="7">
        <v>1</v>
      </c>
    </row>
    <row r="688" spans="1:20" x14ac:dyDescent="0.55000000000000004">
      <c r="A688" s="7">
        <v>23</v>
      </c>
      <c r="B688" s="7">
        <v>1</v>
      </c>
      <c r="C688" s="7">
        <f t="shared" si="28"/>
        <v>15</v>
      </c>
      <c r="D688" s="7">
        <v>70.099999999999994</v>
      </c>
      <c r="E688" s="33" t="s">
        <v>1028</v>
      </c>
      <c r="G688" s="7">
        <v>1</v>
      </c>
      <c r="H688" s="7">
        <v>1</v>
      </c>
      <c r="I688" s="7">
        <v>1</v>
      </c>
      <c r="P688" s="7">
        <v>1</v>
      </c>
    </row>
    <row r="689" spans="1:18" x14ac:dyDescent="0.55000000000000004">
      <c r="A689" s="7">
        <v>23</v>
      </c>
      <c r="B689" s="7">
        <v>1</v>
      </c>
      <c r="C689" s="7">
        <f t="shared" si="28"/>
        <v>16</v>
      </c>
      <c r="D689" s="7">
        <v>55.9</v>
      </c>
      <c r="E689" s="33" t="s">
        <v>1029</v>
      </c>
      <c r="G689" s="7">
        <v>1</v>
      </c>
      <c r="H689" s="7">
        <v>1</v>
      </c>
      <c r="I689" s="7">
        <v>1</v>
      </c>
      <c r="J689" s="7">
        <v>1</v>
      </c>
      <c r="P689" s="7">
        <v>1</v>
      </c>
    </row>
    <row r="690" spans="1:18" x14ac:dyDescent="0.55000000000000004">
      <c r="A690" s="7">
        <v>23</v>
      </c>
      <c r="B690" s="7">
        <v>1</v>
      </c>
      <c r="C690" s="7">
        <f t="shared" si="28"/>
        <v>17</v>
      </c>
      <c r="D690" s="7">
        <v>40.299999999999997</v>
      </c>
      <c r="E690" s="33" t="s">
        <v>1030</v>
      </c>
      <c r="G690" s="7">
        <v>1</v>
      </c>
      <c r="H690" s="7">
        <v>1</v>
      </c>
      <c r="I690" s="7">
        <v>1</v>
      </c>
      <c r="J690" s="7">
        <v>1</v>
      </c>
      <c r="P690" s="7">
        <v>1</v>
      </c>
    </row>
    <row r="691" spans="1:18" x14ac:dyDescent="0.55000000000000004">
      <c r="A691" s="7">
        <v>23</v>
      </c>
      <c r="B691" s="7">
        <v>1</v>
      </c>
      <c r="C691" s="7">
        <f t="shared" si="28"/>
        <v>18</v>
      </c>
      <c r="D691" s="7">
        <v>40.299999999999997</v>
      </c>
      <c r="E691" s="33" t="s">
        <v>1030</v>
      </c>
    </row>
    <row r="692" spans="1:18" x14ac:dyDescent="0.55000000000000004">
      <c r="A692" s="7">
        <v>23</v>
      </c>
      <c r="B692" s="7">
        <v>1</v>
      </c>
      <c r="C692" s="7">
        <f t="shared" si="28"/>
        <v>19</v>
      </c>
      <c r="D692" s="7">
        <v>29.8</v>
      </c>
      <c r="E692" s="33" t="s">
        <v>1031</v>
      </c>
      <c r="G692" s="7">
        <v>1</v>
      </c>
      <c r="H692" s="7">
        <v>1</v>
      </c>
      <c r="I692" s="7">
        <v>1</v>
      </c>
      <c r="J692" s="7">
        <v>1</v>
      </c>
      <c r="P692" s="7">
        <v>1</v>
      </c>
    </row>
    <row r="693" spans="1:18" x14ac:dyDescent="0.55000000000000004">
      <c r="A693" s="7">
        <v>23</v>
      </c>
      <c r="B693" s="7">
        <v>1</v>
      </c>
      <c r="C693" s="7">
        <f t="shared" si="28"/>
        <v>20</v>
      </c>
      <c r="D693" s="7">
        <v>20.2</v>
      </c>
      <c r="E693" s="33" t="s">
        <v>1032</v>
      </c>
      <c r="G693" s="7">
        <v>1</v>
      </c>
      <c r="H693" s="7">
        <v>1</v>
      </c>
      <c r="I693" s="7">
        <v>1</v>
      </c>
      <c r="J693" s="7">
        <v>1</v>
      </c>
      <c r="P693" s="7">
        <v>1</v>
      </c>
    </row>
    <row r="694" spans="1:18" x14ac:dyDescent="0.55000000000000004">
      <c r="A694" s="7">
        <v>23</v>
      </c>
      <c r="B694" s="7">
        <v>1</v>
      </c>
      <c r="C694" s="7">
        <f t="shared" si="28"/>
        <v>21</v>
      </c>
      <c r="D694" s="7">
        <v>9.9</v>
      </c>
      <c r="E694" s="33" t="s">
        <v>1033</v>
      </c>
      <c r="G694" s="7">
        <v>1</v>
      </c>
      <c r="H694" s="7">
        <v>1</v>
      </c>
      <c r="I694" s="7">
        <v>1</v>
      </c>
      <c r="J694" s="7">
        <v>1</v>
      </c>
      <c r="P694" s="7">
        <v>1</v>
      </c>
    </row>
    <row r="695" spans="1:18" x14ac:dyDescent="0.55000000000000004">
      <c r="A695" s="7">
        <v>23</v>
      </c>
      <c r="B695" s="7">
        <v>1</v>
      </c>
      <c r="C695" s="7">
        <f t="shared" si="28"/>
        <v>22</v>
      </c>
      <c r="D695" s="7">
        <v>5.3</v>
      </c>
      <c r="E695" s="33" t="s">
        <v>1034</v>
      </c>
    </row>
    <row r="696" spans="1:18" x14ac:dyDescent="0.55000000000000004">
      <c r="A696" s="7">
        <v>23</v>
      </c>
      <c r="B696" s="7">
        <v>1</v>
      </c>
      <c r="C696" s="7">
        <f>C695+1</f>
        <v>23</v>
      </c>
      <c r="D696" s="7">
        <v>5.3</v>
      </c>
      <c r="E696" s="33" t="s">
        <v>1034</v>
      </c>
    </row>
    <row r="697" spans="1:18" x14ac:dyDescent="0.55000000000000004">
      <c r="A697" s="7">
        <v>23</v>
      </c>
      <c r="B697" s="7">
        <v>1</v>
      </c>
      <c r="C697" s="7">
        <f t="shared" si="28"/>
        <v>24</v>
      </c>
      <c r="D697" s="7">
        <v>5.3</v>
      </c>
      <c r="E697" s="33" t="s">
        <v>1034</v>
      </c>
      <c r="G697" s="7">
        <v>1</v>
      </c>
      <c r="H697" s="7">
        <v>1</v>
      </c>
      <c r="I697" s="7">
        <v>1</v>
      </c>
      <c r="J697" s="7">
        <v>1</v>
      </c>
      <c r="P697" s="7">
        <v>1</v>
      </c>
      <c r="Q697" s="7">
        <v>1</v>
      </c>
      <c r="R697" s="7">
        <v>1</v>
      </c>
    </row>
    <row r="698" spans="1:18" x14ac:dyDescent="0.55000000000000004">
      <c r="A698" s="7">
        <v>24</v>
      </c>
      <c r="B698" s="7">
        <v>1</v>
      </c>
      <c r="C698" s="7">
        <v>1</v>
      </c>
    </row>
    <row r="699" spans="1:18" x14ac:dyDescent="0.55000000000000004">
      <c r="A699" s="7">
        <v>24</v>
      </c>
      <c r="B699" s="7">
        <v>1</v>
      </c>
      <c r="C699" s="7">
        <f>C698+1</f>
        <v>2</v>
      </c>
    </row>
    <row r="700" spans="1:18" x14ac:dyDescent="0.55000000000000004">
      <c r="A700" s="7">
        <v>24</v>
      </c>
      <c r="B700" s="7">
        <v>1</v>
      </c>
      <c r="C700" s="7">
        <f t="shared" ref="C700:C720" si="29">C699+1</f>
        <v>3</v>
      </c>
    </row>
    <row r="701" spans="1:18" x14ac:dyDescent="0.55000000000000004">
      <c r="A701" s="7">
        <v>24</v>
      </c>
      <c r="B701" s="7">
        <v>1</v>
      </c>
      <c r="C701" s="7">
        <f t="shared" si="29"/>
        <v>4</v>
      </c>
    </row>
    <row r="702" spans="1:18" x14ac:dyDescent="0.55000000000000004">
      <c r="A702" s="7">
        <v>24</v>
      </c>
      <c r="B702" s="7">
        <v>1</v>
      </c>
      <c r="C702" s="7">
        <f t="shared" si="29"/>
        <v>5</v>
      </c>
    </row>
    <row r="703" spans="1:18" x14ac:dyDescent="0.55000000000000004">
      <c r="A703" s="7">
        <v>24</v>
      </c>
      <c r="B703" s="7">
        <v>1</v>
      </c>
      <c r="C703" s="7">
        <f t="shared" si="29"/>
        <v>6</v>
      </c>
    </row>
    <row r="704" spans="1:18" x14ac:dyDescent="0.55000000000000004">
      <c r="A704" s="7">
        <v>24</v>
      </c>
      <c r="B704" s="7">
        <v>1</v>
      </c>
      <c r="C704" s="7">
        <f t="shared" si="29"/>
        <v>7</v>
      </c>
    </row>
    <row r="705" spans="1:3" x14ac:dyDescent="0.55000000000000004">
      <c r="A705" s="7">
        <v>24</v>
      </c>
      <c r="B705" s="7">
        <v>1</v>
      </c>
      <c r="C705" s="7">
        <f t="shared" si="29"/>
        <v>8</v>
      </c>
    </row>
    <row r="706" spans="1:3" x14ac:dyDescent="0.55000000000000004">
      <c r="A706" s="7">
        <v>24</v>
      </c>
      <c r="B706" s="7">
        <v>1</v>
      </c>
      <c r="C706" s="7">
        <f t="shared" si="29"/>
        <v>9</v>
      </c>
    </row>
    <row r="707" spans="1:3" x14ac:dyDescent="0.55000000000000004">
      <c r="A707" s="7">
        <v>24</v>
      </c>
      <c r="B707" s="7">
        <v>1</v>
      </c>
      <c r="C707" s="7">
        <f t="shared" si="29"/>
        <v>10</v>
      </c>
    </row>
    <row r="708" spans="1:3" x14ac:dyDescent="0.55000000000000004">
      <c r="A708" s="7">
        <v>24</v>
      </c>
      <c r="B708" s="7">
        <v>1</v>
      </c>
      <c r="C708" s="7">
        <f t="shared" si="29"/>
        <v>11</v>
      </c>
    </row>
    <row r="709" spans="1:3" x14ac:dyDescent="0.55000000000000004">
      <c r="A709" s="7">
        <v>24</v>
      </c>
      <c r="B709" s="7">
        <v>1</v>
      </c>
      <c r="C709" s="7">
        <f t="shared" si="29"/>
        <v>12</v>
      </c>
    </row>
    <row r="710" spans="1:3" x14ac:dyDescent="0.55000000000000004">
      <c r="A710" s="7">
        <v>24</v>
      </c>
      <c r="B710" s="7">
        <v>1</v>
      </c>
      <c r="C710" s="7">
        <f t="shared" si="29"/>
        <v>13</v>
      </c>
    </row>
    <row r="711" spans="1:3" x14ac:dyDescent="0.55000000000000004">
      <c r="A711" s="7">
        <v>24</v>
      </c>
      <c r="B711" s="7">
        <v>1</v>
      </c>
      <c r="C711" s="7">
        <f t="shared" si="29"/>
        <v>14</v>
      </c>
    </row>
    <row r="712" spans="1:3" x14ac:dyDescent="0.55000000000000004">
      <c r="A712" s="7">
        <v>24</v>
      </c>
      <c r="B712" s="7">
        <v>1</v>
      </c>
      <c r="C712" s="7">
        <f t="shared" si="29"/>
        <v>15</v>
      </c>
    </row>
    <row r="713" spans="1:3" x14ac:dyDescent="0.55000000000000004">
      <c r="A713" s="7">
        <v>24</v>
      </c>
      <c r="B713" s="7">
        <v>1</v>
      </c>
      <c r="C713" s="7">
        <f t="shared" si="29"/>
        <v>16</v>
      </c>
    </row>
    <row r="714" spans="1:3" x14ac:dyDescent="0.55000000000000004">
      <c r="A714" s="7">
        <v>24</v>
      </c>
      <c r="B714" s="7">
        <v>1</v>
      </c>
      <c r="C714" s="7">
        <f t="shared" si="29"/>
        <v>17</v>
      </c>
    </row>
    <row r="715" spans="1:3" x14ac:dyDescent="0.55000000000000004">
      <c r="A715" s="7">
        <v>24</v>
      </c>
      <c r="B715" s="7">
        <v>1</v>
      </c>
      <c r="C715" s="7">
        <f t="shared" si="29"/>
        <v>18</v>
      </c>
    </row>
    <row r="716" spans="1:3" x14ac:dyDescent="0.55000000000000004">
      <c r="A716" s="7">
        <v>24</v>
      </c>
      <c r="B716" s="7">
        <v>1</v>
      </c>
      <c r="C716" s="7">
        <f t="shared" si="29"/>
        <v>19</v>
      </c>
    </row>
    <row r="717" spans="1:3" x14ac:dyDescent="0.55000000000000004">
      <c r="A717" s="7">
        <v>24</v>
      </c>
      <c r="B717" s="7">
        <v>1</v>
      </c>
      <c r="C717" s="7">
        <f t="shared" si="29"/>
        <v>20</v>
      </c>
    </row>
    <row r="718" spans="1:3" x14ac:dyDescent="0.55000000000000004">
      <c r="A718" s="7">
        <v>24</v>
      </c>
      <c r="B718" s="7">
        <v>1</v>
      </c>
      <c r="C718" s="7">
        <f t="shared" si="29"/>
        <v>21</v>
      </c>
    </row>
    <row r="719" spans="1:3" x14ac:dyDescent="0.55000000000000004">
      <c r="A719" s="7">
        <v>24</v>
      </c>
      <c r="B719" s="7">
        <v>1</v>
      </c>
      <c r="C719" s="7">
        <f t="shared" si="29"/>
        <v>22</v>
      </c>
    </row>
    <row r="720" spans="1:3" x14ac:dyDescent="0.55000000000000004">
      <c r="A720" s="7">
        <v>24</v>
      </c>
      <c r="B720" s="7">
        <v>1</v>
      </c>
      <c r="C720" s="7">
        <f t="shared" si="29"/>
        <v>23</v>
      </c>
    </row>
    <row r="721" spans="1:20" x14ac:dyDescent="0.55000000000000004">
      <c r="A721" s="7">
        <v>24</v>
      </c>
      <c r="B721" s="7">
        <v>1</v>
      </c>
      <c r="C721" s="7">
        <f>C720+1</f>
        <v>24</v>
      </c>
    </row>
    <row r="722" spans="1:20" x14ac:dyDescent="0.55000000000000004">
      <c r="A722" s="7">
        <v>25</v>
      </c>
      <c r="B722" s="7">
        <v>1</v>
      </c>
      <c r="C722" s="7">
        <v>1</v>
      </c>
      <c r="D722" s="7">
        <v>1200</v>
      </c>
      <c r="E722" s="7" t="s">
        <v>600</v>
      </c>
      <c r="G722" s="7">
        <v>1</v>
      </c>
      <c r="I722" s="7">
        <v>1</v>
      </c>
      <c r="M722" s="7">
        <v>1</v>
      </c>
      <c r="N722" s="7">
        <v>1</v>
      </c>
    </row>
    <row r="723" spans="1:20" x14ac:dyDescent="0.55000000000000004">
      <c r="A723" s="7">
        <v>25</v>
      </c>
      <c r="B723" s="7">
        <v>1</v>
      </c>
      <c r="C723" s="7">
        <f>C722+1</f>
        <v>2</v>
      </c>
      <c r="D723" s="7">
        <v>1200</v>
      </c>
      <c r="E723" s="7" t="s">
        <v>600</v>
      </c>
    </row>
    <row r="724" spans="1:20" x14ac:dyDescent="0.55000000000000004">
      <c r="A724" s="7">
        <v>25</v>
      </c>
      <c r="B724" s="7">
        <v>1</v>
      </c>
      <c r="C724" s="7">
        <f t="shared" ref="C724:C745" si="30">C723+1</f>
        <v>3</v>
      </c>
      <c r="D724" s="7">
        <v>1000</v>
      </c>
      <c r="E724" s="7" t="s">
        <v>601</v>
      </c>
      <c r="F724" s="7">
        <v>1</v>
      </c>
      <c r="G724" s="7">
        <v>1</v>
      </c>
      <c r="I724" s="7">
        <v>1</v>
      </c>
      <c r="M724" s="7">
        <v>1</v>
      </c>
      <c r="N724" s="7">
        <v>1</v>
      </c>
    </row>
    <row r="725" spans="1:20" x14ac:dyDescent="0.55000000000000004">
      <c r="A725" s="7">
        <v>25</v>
      </c>
      <c r="B725" s="7">
        <v>1</v>
      </c>
      <c r="C725" s="7">
        <f t="shared" si="30"/>
        <v>4</v>
      </c>
      <c r="D725" s="7">
        <v>749</v>
      </c>
      <c r="E725" s="7" t="s">
        <v>602</v>
      </c>
      <c r="G725" s="7">
        <v>1</v>
      </c>
      <c r="I725" s="7">
        <v>1</v>
      </c>
      <c r="T725" s="7" t="s">
        <v>620</v>
      </c>
    </row>
    <row r="726" spans="1:20" x14ac:dyDescent="0.55000000000000004">
      <c r="A726" s="7">
        <v>25</v>
      </c>
      <c r="B726" s="7">
        <v>1</v>
      </c>
      <c r="C726" s="7">
        <f t="shared" si="30"/>
        <v>5</v>
      </c>
      <c r="D726" s="7">
        <v>500</v>
      </c>
      <c r="E726" s="7" t="s">
        <v>603</v>
      </c>
      <c r="G726" s="7">
        <v>1</v>
      </c>
      <c r="I726" s="7">
        <v>1</v>
      </c>
      <c r="M726" s="7">
        <v>1</v>
      </c>
      <c r="N726" s="7">
        <v>1</v>
      </c>
    </row>
    <row r="727" spans="1:20" x14ac:dyDescent="0.55000000000000004">
      <c r="A727" s="7">
        <v>25</v>
      </c>
      <c r="B727" s="7">
        <v>1</v>
      </c>
      <c r="C727" s="7">
        <f t="shared" si="30"/>
        <v>6</v>
      </c>
      <c r="D727" s="7">
        <v>300</v>
      </c>
      <c r="E727" s="7" t="s">
        <v>604</v>
      </c>
      <c r="G727" s="7">
        <v>1</v>
      </c>
      <c r="H727" s="7">
        <v>1</v>
      </c>
      <c r="I727" s="7">
        <v>1</v>
      </c>
      <c r="O727" s="7">
        <v>1</v>
      </c>
    </row>
    <row r="728" spans="1:20" x14ac:dyDescent="0.55000000000000004">
      <c r="A728" s="7">
        <v>25</v>
      </c>
      <c r="B728" s="7">
        <v>1</v>
      </c>
      <c r="C728" s="7">
        <f t="shared" si="30"/>
        <v>7</v>
      </c>
      <c r="D728" s="7">
        <v>250</v>
      </c>
      <c r="E728" s="7" t="s">
        <v>605</v>
      </c>
      <c r="G728" s="7">
        <v>1</v>
      </c>
      <c r="I728" s="7">
        <v>1</v>
      </c>
    </row>
    <row r="729" spans="1:20" x14ac:dyDescent="0.55000000000000004">
      <c r="A729" s="7">
        <v>25</v>
      </c>
      <c r="B729" s="7">
        <v>1</v>
      </c>
      <c r="C729" s="7">
        <f t="shared" si="30"/>
        <v>8</v>
      </c>
      <c r="D729" s="7">
        <v>200</v>
      </c>
      <c r="E729" s="7" t="s">
        <v>606</v>
      </c>
      <c r="G729" s="7">
        <v>1</v>
      </c>
      <c r="H729" s="7">
        <v>1</v>
      </c>
      <c r="I729" s="7">
        <v>1</v>
      </c>
      <c r="M729" s="7">
        <v>1</v>
      </c>
      <c r="N729" s="7">
        <v>1</v>
      </c>
      <c r="O729" s="7">
        <v>1</v>
      </c>
    </row>
    <row r="730" spans="1:20" x14ac:dyDescent="0.55000000000000004">
      <c r="A730" s="7">
        <v>25</v>
      </c>
      <c r="B730" s="7">
        <v>1</v>
      </c>
      <c r="C730" s="7">
        <f t="shared" si="30"/>
        <v>9</v>
      </c>
      <c r="D730" s="7">
        <v>175.4</v>
      </c>
      <c r="E730" s="7" t="s">
        <v>607</v>
      </c>
      <c r="G730" s="7">
        <v>1</v>
      </c>
      <c r="H730" s="7">
        <v>1</v>
      </c>
      <c r="I730" s="7">
        <v>1</v>
      </c>
      <c r="O730" s="7">
        <v>1</v>
      </c>
    </row>
    <row r="731" spans="1:20" x14ac:dyDescent="0.55000000000000004">
      <c r="A731" s="7">
        <v>25</v>
      </c>
      <c r="B731" s="7">
        <v>1</v>
      </c>
      <c r="C731" s="7">
        <f t="shared" si="30"/>
        <v>10</v>
      </c>
      <c r="D731" s="7">
        <v>149.69999999999999</v>
      </c>
      <c r="E731" s="7" t="s">
        <v>608</v>
      </c>
      <c r="G731" s="7">
        <v>1</v>
      </c>
      <c r="H731" s="7">
        <v>1</v>
      </c>
      <c r="I731" s="7">
        <v>1</v>
      </c>
      <c r="O731" s="7">
        <v>1</v>
      </c>
    </row>
    <row r="732" spans="1:20" x14ac:dyDescent="0.55000000000000004">
      <c r="A732" s="7">
        <v>25</v>
      </c>
      <c r="B732" s="7">
        <v>1</v>
      </c>
      <c r="C732" s="7">
        <f t="shared" si="30"/>
        <v>11</v>
      </c>
      <c r="D732" s="7">
        <v>130.19999999999999</v>
      </c>
      <c r="E732" s="7" t="s">
        <v>609</v>
      </c>
      <c r="G732" s="7">
        <v>1</v>
      </c>
      <c r="H732" s="7">
        <v>1</v>
      </c>
      <c r="I732" s="7">
        <v>1</v>
      </c>
      <c r="O732" s="7">
        <v>1</v>
      </c>
      <c r="T732" s="7" t="s">
        <v>621</v>
      </c>
    </row>
    <row r="733" spans="1:20" x14ac:dyDescent="0.55000000000000004">
      <c r="A733" s="7">
        <v>25</v>
      </c>
      <c r="B733" s="7">
        <v>1</v>
      </c>
      <c r="C733" s="7">
        <f t="shared" si="30"/>
        <v>12</v>
      </c>
      <c r="D733" s="7">
        <v>115.1</v>
      </c>
      <c r="E733" s="7" t="s">
        <v>610</v>
      </c>
      <c r="G733" s="7">
        <v>1</v>
      </c>
      <c r="I733" s="7">
        <v>1</v>
      </c>
    </row>
    <row r="734" spans="1:20" x14ac:dyDescent="0.55000000000000004">
      <c r="A734" s="7">
        <v>25</v>
      </c>
      <c r="B734" s="7">
        <v>1</v>
      </c>
      <c r="C734" s="7">
        <f t="shared" si="30"/>
        <v>13</v>
      </c>
      <c r="D734" s="7">
        <v>99.7</v>
      </c>
      <c r="E734" s="7" t="s">
        <v>611</v>
      </c>
      <c r="G734" s="7">
        <v>1</v>
      </c>
      <c r="H734" s="7">
        <v>1</v>
      </c>
      <c r="I734" s="7">
        <v>1</v>
      </c>
      <c r="M734" s="7">
        <v>1</v>
      </c>
      <c r="N734" s="7">
        <v>1</v>
      </c>
      <c r="O734" s="7">
        <v>1</v>
      </c>
    </row>
    <row r="735" spans="1:20" x14ac:dyDescent="0.55000000000000004">
      <c r="A735" s="7">
        <v>25</v>
      </c>
      <c r="B735" s="7">
        <v>1</v>
      </c>
      <c r="C735" s="7">
        <f t="shared" si="30"/>
        <v>14</v>
      </c>
      <c r="D735" s="7">
        <v>84</v>
      </c>
      <c r="E735" s="7" t="s">
        <v>612</v>
      </c>
      <c r="G735" s="7">
        <v>1</v>
      </c>
      <c r="H735" s="7">
        <v>1</v>
      </c>
      <c r="I735" s="7">
        <v>1</v>
      </c>
      <c r="O735" s="7">
        <v>1</v>
      </c>
    </row>
    <row r="736" spans="1:20" x14ac:dyDescent="0.55000000000000004">
      <c r="A736" s="7">
        <v>25</v>
      </c>
      <c r="B736" s="7">
        <v>1</v>
      </c>
      <c r="C736" s="7">
        <f t="shared" si="30"/>
        <v>15</v>
      </c>
      <c r="D736" s="7">
        <v>69</v>
      </c>
      <c r="E736" s="7" t="s">
        <v>613</v>
      </c>
      <c r="G736" s="7">
        <v>1</v>
      </c>
      <c r="H736" s="7">
        <v>1</v>
      </c>
      <c r="I736" s="7">
        <v>1</v>
      </c>
      <c r="M736" s="7">
        <v>1</v>
      </c>
      <c r="N736" s="7">
        <v>1</v>
      </c>
      <c r="O736" s="7">
        <v>1</v>
      </c>
    </row>
    <row r="737" spans="1:17" x14ac:dyDescent="0.55000000000000004">
      <c r="A737" s="7">
        <v>25</v>
      </c>
      <c r="B737" s="7">
        <v>1</v>
      </c>
      <c r="C737" s="7">
        <f t="shared" si="30"/>
        <v>16</v>
      </c>
      <c r="D737" s="7">
        <v>55</v>
      </c>
      <c r="E737" s="7" t="s">
        <v>614</v>
      </c>
      <c r="G737" s="7">
        <v>1</v>
      </c>
      <c r="H737" s="7">
        <v>1</v>
      </c>
      <c r="I737" s="7">
        <v>1</v>
      </c>
      <c r="M737" s="7">
        <v>1</v>
      </c>
      <c r="N737" s="7">
        <v>1</v>
      </c>
      <c r="O737" s="7">
        <v>1</v>
      </c>
    </row>
    <row r="738" spans="1:17" x14ac:dyDescent="0.55000000000000004">
      <c r="A738" s="7">
        <v>25</v>
      </c>
      <c r="B738" s="7">
        <v>1</v>
      </c>
      <c r="C738" s="7">
        <f t="shared" si="30"/>
        <v>17</v>
      </c>
      <c r="D738" s="7">
        <v>40</v>
      </c>
      <c r="E738" s="7" t="s">
        <v>615</v>
      </c>
      <c r="G738" s="7">
        <v>1</v>
      </c>
      <c r="H738" s="7">
        <v>1</v>
      </c>
      <c r="I738" s="7">
        <v>1</v>
      </c>
      <c r="M738" s="7">
        <v>1</v>
      </c>
      <c r="N738" s="7">
        <v>1</v>
      </c>
      <c r="O738" s="7">
        <v>1</v>
      </c>
    </row>
    <row r="739" spans="1:17" x14ac:dyDescent="0.55000000000000004">
      <c r="A739" s="7">
        <v>25</v>
      </c>
      <c r="B739" s="7">
        <v>1</v>
      </c>
      <c r="C739" s="7">
        <f t="shared" si="30"/>
        <v>18</v>
      </c>
      <c r="D739" s="7">
        <v>40</v>
      </c>
      <c r="E739" s="7" t="s">
        <v>615</v>
      </c>
    </row>
    <row r="740" spans="1:17" x14ac:dyDescent="0.55000000000000004">
      <c r="A740" s="7">
        <v>25</v>
      </c>
      <c r="B740" s="7">
        <v>1</v>
      </c>
      <c r="C740" s="7">
        <f t="shared" si="30"/>
        <v>19</v>
      </c>
      <c r="D740" s="7">
        <v>29</v>
      </c>
      <c r="E740" s="7" t="s">
        <v>616</v>
      </c>
      <c r="G740" s="7">
        <v>1</v>
      </c>
      <c r="H740" s="7">
        <v>1</v>
      </c>
      <c r="I740" s="7">
        <v>1</v>
      </c>
      <c r="O740" s="7">
        <v>1</v>
      </c>
    </row>
    <row r="741" spans="1:17" x14ac:dyDescent="0.55000000000000004">
      <c r="A741" s="7">
        <v>25</v>
      </c>
      <c r="B741" s="7">
        <v>1</v>
      </c>
      <c r="C741" s="7">
        <f t="shared" si="30"/>
        <v>20</v>
      </c>
      <c r="D741" s="7">
        <v>20</v>
      </c>
      <c r="E741" s="7" t="s">
        <v>617</v>
      </c>
      <c r="G741" s="7">
        <v>1</v>
      </c>
      <c r="H741" s="7">
        <v>1</v>
      </c>
      <c r="I741" s="7">
        <v>1</v>
      </c>
      <c r="M741" s="7">
        <v>1</v>
      </c>
      <c r="N741" s="7">
        <v>1</v>
      </c>
      <c r="O741" s="7">
        <v>1</v>
      </c>
    </row>
    <row r="742" spans="1:17" x14ac:dyDescent="0.55000000000000004">
      <c r="A742" s="7">
        <v>25</v>
      </c>
      <c r="B742" s="7">
        <v>1</v>
      </c>
      <c r="C742" s="7">
        <f>C741+1</f>
        <v>21</v>
      </c>
      <c r="D742" s="7">
        <v>10</v>
      </c>
      <c r="E742" s="7" t="s">
        <v>618</v>
      </c>
      <c r="G742" s="7">
        <v>1</v>
      </c>
      <c r="I742" s="7">
        <v>1</v>
      </c>
    </row>
    <row r="743" spans="1:17" x14ac:dyDescent="0.55000000000000004">
      <c r="A743" s="7">
        <v>25</v>
      </c>
      <c r="B743" s="7">
        <v>1</v>
      </c>
      <c r="C743" s="7">
        <f t="shared" si="30"/>
        <v>22</v>
      </c>
      <c r="D743" s="7">
        <v>9</v>
      </c>
      <c r="E743" s="7" t="s">
        <v>619</v>
      </c>
    </row>
    <row r="744" spans="1:17" x14ac:dyDescent="0.55000000000000004">
      <c r="A744" s="7">
        <v>25</v>
      </c>
      <c r="B744" s="7">
        <v>1</v>
      </c>
      <c r="C744" s="7">
        <f t="shared" si="30"/>
        <v>23</v>
      </c>
      <c r="D744" s="7">
        <v>5</v>
      </c>
      <c r="E744" s="7" t="s">
        <v>619</v>
      </c>
    </row>
    <row r="745" spans="1:17" x14ac:dyDescent="0.55000000000000004">
      <c r="A745" s="7">
        <v>25</v>
      </c>
      <c r="B745" s="7">
        <v>1</v>
      </c>
      <c r="C745" s="7">
        <f t="shared" si="30"/>
        <v>24</v>
      </c>
      <c r="D745" s="7">
        <v>2</v>
      </c>
      <c r="E745" s="7" t="s">
        <v>619</v>
      </c>
      <c r="G745" s="7">
        <v>1</v>
      </c>
      <c r="I745" s="7">
        <v>1</v>
      </c>
      <c r="M745" s="7">
        <v>1</v>
      </c>
      <c r="N745" s="7">
        <v>1</v>
      </c>
      <c r="O745" s="7">
        <v>1</v>
      </c>
      <c r="P745" s="7">
        <v>1</v>
      </c>
      <c r="Q745" s="7">
        <v>1</v>
      </c>
    </row>
    <row r="746" spans="1:17" x14ac:dyDescent="0.55000000000000004">
      <c r="A746" s="7">
        <v>26</v>
      </c>
      <c r="B746" s="7">
        <v>1</v>
      </c>
      <c r="C746" s="7">
        <v>1</v>
      </c>
      <c r="D746" s="7">
        <v>2774</v>
      </c>
      <c r="E746" s="7" t="s">
        <v>673</v>
      </c>
      <c r="G746" s="7">
        <v>1</v>
      </c>
      <c r="I746" s="7">
        <v>1</v>
      </c>
      <c r="P746" s="7">
        <v>1</v>
      </c>
      <c r="Q746" s="7">
        <v>1</v>
      </c>
    </row>
    <row r="747" spans="1:17" x14ac:dyDescent="0.55000000000000004">
      <c r="A747" s="7">
        <v>26</v>
      </c>
      <c r="B747" s="7">
        <v>1</v>
      </c>
      <c r="C747" s="7">
        <f>C746+1</f>
        <v>2</v>
      </c>
      <c r="D747" s="7">
        <v>2500</v>
      </c>
      <c r="E747" s="7" t="s">
        <v>672</v>
      </c>
      <c r="F747" s="7">
        <v>1</v>
      </c>
      <c r="G747" s="7">
        <v>1</v>
      </c>
      <c r="I747" s="7">
        <v>1</v>
      </c>
    </row>
    <row r="748" spans="1:17" x14ac:dyDescent="0.55000000000000004">
      <c r="A748" s="7">
        <v>26</v>
      </c>
      <c r="B748" s="7">
        <v>1</v>
      </c>
      <c r="C748" s="7">
        <f t="shared" ref="C748:C769" si="31">C747+1</f>
        <v>3</v>
      </c>
      <c r="D748" s="7">
        <v>2000</v>
      </c>
      <c r="E748" s="7" t="s">
        <v>671</v>
      </c>
      <c r="F748" s="7">
        <v>1</v>
      </c>
      <c r="G748" s="7">
        <v>1</v>
      </c>
      <c r="I748" s="7">
        <v>1</v>
      </c>
      <c r="O748" s="7">
        <v>1</v>
      </c>
      <c r="P748" s="7">
        <v>1</v>
      </c>
    </row>
    <row r="749" spans="1:17" x14ac:dyDescent="0.55000000000000004">
      <c r="A749" s="7">
        <v>26</v>
      </c>
      <c r="B749" s="7">
        <v>1</v>
      </c>
      <c r="C749" s="7">
        <f t="shared" si="31"/>
        <v>4</v>
      </c>
      <c r="D749" s="7">
        <v>1499</v>
      </c>
      <c r="E749" s="7" t="s">
        <v>670</v>
      </c>
      <c r="F749" s="7">
        <v>1</v>
      </c>
      <c r="G749" s="7">
        <v>1</v>
      </c>
      <c r="I749" s="7">
        <v>1</v>
      </c>
    </row>
    <row r="750" spans="1:17" x14ac:dyDescent="0.55000000000000004">
      <c r="A750" s="7">
        <v>26</v>
      </c>
      <c r="B750" s="7">
        <v>1</v>
      </c>
      <c r="C750" s="7">
        <f t="shared" si="31"/>
        <v>5</v>
      </c>
      <c r="D750" s="7">
        <v>1000</v>
      </c>
      <c r="E750" s="7" t="s">
        <v>669</v>
      </c>
      <c r="F750" s="7">
        <v>1</v>
      </c>
      <c r="G750" s="7">
        <v>1</v>
      </c>
      <c r="I750" s="7">
        <v>1</v>
      </c>
      <c r="O750" s="7">
        <v>1</v>
      </c>
      <c r="P750" s="7">
        <v>1</v>
      </c>
      <c r="Q750" s="7">
        <v>1</v>
      </c>
    </row>
    <row r="751" spans="1:17" x14ac:dyDescent="0.55000000000000004">
      <c r="A751" s="7">
        <v>26</v>
      </c>
      <c r="B751" s="7">
        <v>1</v>
      </c>
      <c r="C751" s="7">
        <f t="shared" si="31"/>
        <v>6</v>
      </c>
      <c r="D751" s="7">
        <v>749</v>
      </c>
      <c r="E751" s="7" t="s">
        <v>668</v>
      </c>
      <c r="G751" s="7">
        <v>1</v>
      </c>
      <c r="I751" s="7">
        <v>1</v>
      </c>
    </row>
    <row r="752" spans="1:17" x14ac:dyDescent="0.55000000000000004">
      <c r="A752" s="7">
        <v>26</v>
      </c>
      <c r="B752" s="7">
        <v>1</v>
      </c>
      <c r="C752" s="7">
        <f t="shared" si="31"/>
        <v>7</v>
      </c>
      <c r="D752" s="7">
        <v>500</v>
      </c>
      <c r="E752" s="7" t="s">
        <v>667</v>
      </c>
      <c r="F752" s="7">
        <v>1</v>
      </c>
      <c r="G752" s="7">
        <v>1</v>
      </c>
      <c r="I752" s="7">
        <v>1</v>
      </c>
      <c r="O752" s="7">
        <v>1</v>
      </c>
      <c r="P752" s="7">
        <v>1</v>
      </c>
      <c r="Q752" s="7">
        <v>1</v>
      </c>
    </row>
    <row r="753" spans="1:17" x14ac:dyDescent="0.55000000000000004">
      <c r="A753" s="7">
        <v>26</v>
      </c>
      <c r="B753" s="7">
        <v>1</v>
      </c>
      <c r="C753" s="7">
        <f t="shared" si="31"/>
        <v>8</v>
      </c>
      <c r="D753" s="7">
        <v>300</v>
      </c>
      <c r="E753" s="7" t="s">
        <v>666</v>
      </c>
      <c r="G753" s="7">
        <v>1</v>
      </c>
      <c r="I753" s="7">
        <v>1</v>
      </c>
      <c r="Q753" s="7">
        <v>1</v>
      </c>
    </row>
    <row r="754" spans="1:17" x14ac:dyDescent="0.55000000000000004">
      <c r="A754" s="7">
        <v>26</v>
      </c>
      <c r="B754" s="7">
        <v>1</v>
      </c>
      <c r="C754" s="7">
        <f t="shared" si="31"/>
        <v>9</v>
      </c>
      <c r="D754" s="7">
        <v>250</v>
      </c>
      <c r="E754" s="7" t="s">
        <v>665</v>
      </c>
      <c r="G754" s="7">
        <v>1</v>
      </c>
      <c r="H754" s="7">
        <v>1</v>
      </c>
      <c r="I754" s="7">
        <v>1</v>
      </c>
      <c r="O754" s="7">
        <v>1</v>
      </c>
      <c r="P754" s="7">
        <v>1</v>
      </c>
      <c r="Q754" s="7">
        <v>1</v>
      </c>
    </row>
    <row r="755" spans="1:17" x14ac:dyDescent="0.55000000000000004">
      <c r="A755" s="7">
        <v>26</v>
      </c>
      <c r="B755" s="7">
        <v>1</v>
      </c>
      <c r="C755" s="7">
        <f t="shared" si="31"/>
        <v>10</v>
      </c>
      <c r="D755" s="7">
        <v>200</v>
      </c>
      <c r="E755" s="7" t="s">
        <v>664</v>
      </c>
      <c r="F755" s="7">
        <v>1</v>
      </c>
      <c r="G755" s="7">
        <v>1</v>
      </c>
      <c r="H755" s="7">
        <v>1</v>
      </c>
      <c r="I755" s="7">
        <v>1</v>
      </c>
      <c r="P755" s="7">
        <v>1</v>
      </c>
      <c r="Q755" s="7">
        <v>1</v>
      </c>
    </row>
    <row r="756" spans="1:17" x14ac:dyDescent="0.55000000000000004">
      <c r="A756" s="7">
        <v>26</v>
      </c>
      <c r="B756" s="7">
        <v>1</v>
      </c>
      <c r="C756" s="7">
        <f t="shared" si="31"/>
        <v>11</v>
      </c>
      <c r="D756" s="7">
        <v>174</v>
      </c>
      <c r="E756" s="7" t="s">
        <v>663</v>
      </c>
      <c r="G756" s="7">
        <v>1</v>
      </c>
      <c r="H756" s="7">
        <v>1</v>
      </c>
      <c r="I756" s="7">
        <v>1</v>
      </c>
      <c r="P756" s="7">
        <v>1</v>
      </c>
    </row>
    <row r="757" spans="1:17" x14ac:dyDescent="0.55000000000000004">
      <c r="A757" s="7">
        <v>26</v>
      </c>
      <c r="B757" s="7">
        <v>1</v>
      </c>
      <c r="C757" s="7">
        <f t="shared" si="31"/>
        <v>12</v>
      </c>
      <c r="D757" s="7">
        <v>149</v>
      </c>
      <c r="E757" s="7" t="s">
        <v>662</v>
      </c>
      <c r="G757" s="7">
        <v>1</v>
      </c>
      <c r="H757" s="7">
        <v>1</v>
      </c>
      <c r="I757" s="7">
        <v>1</v>
      </c>
      <c r="O757" s="7">
        <v>1</v>
      </c>
      <c r="P757" s="7">
        <v>1</v>
      </c>
      <c r="Q757" s="7">
        <v>1</v>
      </c>
    </row>
    <row r="758" spans="1:17" x14ac:dyDescent="0.55000000000000004">
      <c r="A758" s="7">
        <v>26</v>
      </c>
      <c r="B758" s="7">
        <v>1</v>
      </c>
      <c r="C758" s="7">
        <f t="shared" si="31"/>
        <v>13</v>
      </c>
      <c r="D758" s="7">
        <v>129</v>
      </c>
      <c r="E758" s="7" t="s">
        <v>661</v>
      </c>
      <c r="G758" s="7">
        <v>1</v>
      </c>
      <c r="H758" s="7">
        <v>1</v>
      </c>
      <c r="I758" s="7">
        <v>1</v>
      </c>
      <c r="P758" s="7">
        <v>1</v>
      </c>
    </row>
    <row r="759" spans="1:17" x14ac:dyDescent="0.55000000000000004">
      <c r="A759" s="7">
        <v>26</v>
      </c>
      <c r="B759" s="7">
        <v>1</v>
      </c>
      <c r="C759" s="7">
        <f t="shared" si="31"/>
        <v>14</v>
      </c>
      <c r="D759" s="7">
        <v>114</v>
      </c>
      <c r="E759" s="7" t="s">
        <v>660</v>
      </c>
      <c r="G759" s="7">
        <v>1</v>
      </c>
      <c r="H759" s="7">
        <v>1</v>
      </c>
      <c r="I759" s="7">
        <v>1</v>
      </c>
      <c r="P759" s="7">
        <v>1</v>
      </c>
    </row>
    <row r="760" spans="1:17" x14ac:dyDescent="0.55000000000000004">
      <c r="A760" s="7">
        <v>26</v>
      </c>
      <c r="B760" s="7">
        <v>1</v>
      </c>
      <c r="C760" s="7">
        <f t="shared" si="31"/>
        <v>15</v>
      </c>
      <c r="D760" s="7">
        <v>99</v>
      </c>
      <c r="E760" s="7" t="s">
        <v>659</v>
      </c>
      <c r="G760" s="7">
        <v>1</v>
      </c>
      <c r="H760" s="7">
        <v>1</v>
      </c>
      <c r="I760" s="7">
        <v>1</v>
      </c>
      <c r="O760" s="7">
        <v>1</v>
      </c>
      <c r="P760" s="7">
        <v>1</v>
      </c>
      <c r="Q760" s="7">
        <v>1</v>
      </c>
    </row>
    <row r="761" spans="1:17" x14ac:dyDescent="0.55000000000000004">
      <c r="A761" s="7">
        <v>26</v>
      </c>
      <c r="B761" s="7">
        <v>1</v>
      </c>
      <c r="C761" s="7">
        <f t="shared" si="31"/>
        <v>16</v>
      </c>
      <c r="D761" s="7">
        <v>84</v>
      </c>
      <c r="E761" s="7" t="s">
        <v>658</v>
      </c>
      <c r="G761" s="7">
        <v>1</v>
      </c>
      <c r="H761" s="7">
        <v>1</v>
      </c>
      <c r="I761" s="7">
        <v>1</v>
      </c>
      <c r="P761" s="7">
        <v>1</v>
      </c>
    </row>
    <row r="762" spans="1:17" x14ac:dyDescent="0.55000000000000004">
      <c r="A762" s="7">
        <v>26</v>
      </c>
      <c r="B762" s="7">
        <v>1</v>
      </c>
      <c r="C762" s="7">
        <f t="shared" si="31"/>
        <v>17</v>
      </c>
      <c r="D762" s="7">
        <v>70</v>
      </c>
      <c r="E762" s="7" t="s">
        <v>657</v>
      </c>
      <c r="G762" s="7">
        <v>1</v>
      </c>
      <c r="H762" s="7">
        <v>1</v>
      </c>
      <c r="I762" s="7">
        <v>1</v>
      </c>
      <c r="O762" s="7">
        <v>1</v>
      </c>
      <c r="P762" s="7">
        <v>1</v>
      </c>
    </row>
    <row r="763" spans="1:17" x14ac:dyDescent="0.55000000000000004">
      <c r="A763" s="7">
        <v>26</v>
      </c>
      <c r="B763" s="7">
        <v>1</v>
      </c>
      <c r="C763" s="7">
        <f t="shared" si="31"/>
        <v>18</v>
      </c>
      <c r="D763" s="7">
        <v>55</v>
      </c>
      <c r="E763" s="7" t="s">
        <v>656</v>
      </c>
      <c r="G763" s="7">
        <v>1</v>
      </c>
      <c r="H763" s="7">
        <v>1</v>
      </c>
      <c r="I763" s="7">
        <v>1</v>
      </c>
      <c r="O763" s="7">
        <v>1</v>
      </c>
      <c r="P763" s="7">
        <v>1</v>
      </c>
    </row>
    <row r="764" spans="1:17" x14ac:dyDescent="0.55000000000000004">
      <c r="A764" s="7">
        <v>26</v>
      </c>
      <c r="B764" s="7">
        <v>1</v>
      </c>
      <c r="C764" s="7">
        <f t="shared" si="31"/>
        <v>19</v>
      </c>
      <c r="D764" s="7">
        <v>40</v>
      </c>
      <c r="E764" s="7" t="s">
        <v>655</v>
      </c>
      <c r="G764" s="7">
        <v>1</v>
      </c>
      <c r="H764" s="7">
        <v>1</v>
      </c>
      <c r="I764" s="7">
        <v>1</v>
      </c>
      <c r="P764" s="7">
        <v>1</v>
      </c>
    </row>
    <row r="765" spans="1:17" x14ac:dyDescent="0.55000000000000004">
      <c r="A765" s="7">
        <v>26</v>
      </c>
      <c r="B765" s="7">
        <v>1</v>
      </c>
      <c r="C765" s="7">
        <f t="shared" si="31"/>
        <v>20</v>
      </c>
      <c r="D765" s="7">
        <v>29.8</v>
      </c>
      <c r="E765" s="7" t="s">
        <v>654</v>
      </c>
      <c r="F765" s="7">
        <v>1</v>
      </c>
      <c r="G765" s="7">
        <v>1</v>
      </c>
      <c r="H765" s="7">
        <v>1</v>
      </c>
      <c r="I765" s="7">
        <v>1</v>
      </c>
      <c r="O765" s="7">
        <v>1</v>
      </c>
      <c r="P765" s="7">
        <v>1</v>
      </c>
    </row>
    <row r="766" spans="1:17" x14ac:dyDescent="0.55000000000000004">
      <c r="A766" s="7">
        <v>26</v>
      </c>
      <c r="B766" s="7">
        <v>1</v>
      </c>
      <c r="C766" s="7">
        <f t="shared" si="31"/>
        <v>21</v>
      </c>
      <c r="D766" s="7">
        <v>20.2</v>
      </c>
      <c r="E766" s="7" t="s">
        <v>653</v>
      </c>
      <c r="G766" s="7">
        <v>1</v>
      </c>
      <c r="H766" s="7">
        <v>1</v>
      </c>
      <c r="I766" s="7">
        <v>1</v>
      </c>
      <c r="P766" s="7">
        <v>1</v>
      </c>
      <c r="Q766" s="7">
        <v>1</v>
      </c>
    </row>
    <row r="767" spans="1:17" x14ac:dyDescent="0.55000000000000004">
      <c r="A767" s="7">
        <v>26</v>
      </c>
      <c r="B767" s="7">
        <v>1</v>
      </c>
      <c r="C767" s="7">
        <f t="shared" si="31"/>
        <v>22</v>
      </c>
      <c r="D767" s="7">
        <v>10.4</v>
      </c>
      <c r="E767" s="7" t="s">
        <v>652</v>
      </c>
      <c r="G767" s="7">
        <v>1</v>
      </c>
      <c r="H767" s="7">
        <v>1</v>
      </c>
      <c r="I767" s="7">
        <v>1</v>
      </c>
      <c r="O767" s="7">
        <v>1</v>
      </c>
      <c r="P767" s="7">
        <v>1</v>
      </c>
    </row>
    <row r="768" spans="1:17" x14ac:dyDescent="0.55000000000000004">
      <c r="A768" s="7">
        <v>26</v>
      </c>
      <c r="B768" s="7">
        <v>1</v>
      </c>
      <c r="C768" s="7">
        <f t="shared" si="31"/>
        <v>23</v>
      </c>
      <c r="D768" s="7">
        <v>1.9</v>
      </c>
      <c r="E768" s="7" t="s">
        <v>651</v>
      </c>
    </row>
    <row r="769" spans="1:18" x14ac:dyDescent="0.55000000000000004">
      <c r="A769" s="7">
        <v>26</v>
      </c>
      <c r="B769" s="7">
        <v>1</v>
      </c>
      <c r="C769" s="7">
        <f t="shared" si="31"/>
        <v>24</v>
      </c>
      <c r="D769" s="7">
        <v>1.9</v>
      </c>
      <c r="E769" s="7" t="s">
        <v>651</v>
      </c>
      <c r="F769" s="7">
        <v>1</v>
      </c>
      <c r="G769" s="7">
        <v>1</v>
      </c>
      <c r="I769" s="7">
        <v>1</v>
      </c>
      <c r="O769" s="7">
        <v>1</v>
      </c>
      <c r="P769" s="7">
        <v>1</v>
      </c>
      <c r="Q769" s="7">
        <v>1</v>
      </c>
      <c r="R769" s="7">
        <v>1</v>
      </c>
    </row>
    <row r="770" spans="1:18" x14ac:dyDescent="0.55000000000000004">
      <c r="A770" s="7">
        <v>27</v>
      </c>
      <c r="B770" s="7">
        <v>1</v>
      </c>
      <c r="C770" s="7">
        <v>1</v>
      </c>
      <c r="D770" s="7">
        <v>1200</v>
      </c>
      <c r="E770" s="7" t="s">
        <v>693</v>
      </c>
      <c r="G770" s="7">
        <v>1</v>
      </c>
      <c r="I770" s="7">
        <v>1</v>
      </c>
    </row>
    <row r="771" spans="1:18" x14ac:dyDescent="0.55000000000000004">
      <c r="A771" s="7">
        <v>27</v>
      </c>
      <c r="B771" s="7">
        <v>1</v>
      </c>
      <c r="C771" s="7">
        <f>C770+1</f>
        <v>2</v>
      </c>
      <c r="D771" s="7">
        <v>1200</v>
      </c>
      <c r="E771" s="7" t="s">
        <v>693</v>
      </c>
    </row>
    <row r="772" spans="1:18" x14ac:dyDescent="0.55000000000000004">
      <c r="A772" s="7">
        <v>27</v>
      </c>
      <c r="B772" s="7">
        <v>1</v>
      </c>
      <c r="C772" s="7">
        <f t="shared" ref="C772:C793" si="32">C771+1</f>
        <v>3</v>
      </c>
      <c r="D772" s="7">
        <v>999.3</v>
      </c>
      <c r="E772" s="7" t="s">
        <v>692</v>
      </c>
      <c r="G772" s="7">
        <v>1</v>
      </c>
      <c r="I772" s="7">
        <v>1</v>
      </c>
    </row>
    <row r="773" spans="1:18" x14ac:dyDescent="0.55000000000000004">
      <c r="A773" s="7">
        <v>27</v>
      </c>
      <c r="B773" s="7">
        <v>1</v>
      </c>
      <c r="C773" s="7">
        <f t="shared" si="32"/>
        <v>4</v>
      </c>
      <c r="D773" s="7">
        <v>750</v>
      </c>
      <c r="E773" s="7" t="s">
        <v>691</v>
      </c>
      <c r="G773" s="7">
        <v>1</v>
      </c>
      <c r="I773" s="7">
        <v>1</v>
      </c>
    </row>
    <row r="774" spans="1:18" x14ac:dyDescent="0.55000000000000004">
      <c r="A774" s="7">
        <v>27</v>
      </c>
      <c r="B774" s="7">
        <v>1</v>
      </c>
      <c r="C774" s="7">
        <f t="shared" si="32"/>
        <v>5</v>
      </c>
      <c r="D774" s="7">
        <v>499.7</v>
      </c>
      <c r="E774" s="7" t="s">
        <v>690</v>
      </c>
      <c r="G774" s="7">
        <v>1</v>
      </c>
      <c r="I774" s="7">
        <v>1</v>
      </c>
    </row>
    <row r="775" spans="1:18" x14ac:dyDescent="0.55000000000000004">
      <c r="A775" s="7">
        <v>27</v>
      </c>
      <c r="B775" s="7">
        <v>1</v>
      </c>
      <c r="C775" s="7">
        <f t="shared" si="32"/>
        <v>6</v>
      </c>
      <c r="D775" s="7">
        <v>300</v>
      </c>
      <c r="E775" s="7" t="s">
        <v>689</v>
      </c>
      <c r="G775" s="7">
        <v>1</v>
      </c>
      <c r="H775" s="7">
        <v>1</v>
      </c>
      <c r="I775" s="7">
        <v>1</v>
      </c>
      <c r="P775" s="7">
        <v>1</v>
      </c>
    </row>
    <row r="776" spans="1:18" x14ac:dyDescent="0.55000000000000004">
      <c r="A776" s="7">
        <v>27</v>
      </c>
      <c r="B776" s="7">
        <v>1</v>
      </c>
      <c r="C776" s="7">
        <f t="shared" si="32"/>
        <v>7</v>
      </c>
      <c r="D776" s="7">
        <v>250.6</v>
      </c>
      <c r="E776" s="7" t="s">
        <v>688</v>
      </c>
      <c r="G776" s="7">
        <v>1</v>
      </c>
      <c r="H776" s="7">
        <v>1</v>
      </c>
      <c r="I776" s="7">
        <v>1</v>
      </c>
      <c r="P776" s="7">
        <v>1</v>
      </c>
    </row>
    <row r="777" spans="1:18" x14ac:dyDescent="0.55000000000000004">
      <c r="A777" s="7">
        <v>27</v>
      </c>
      <c r="B777" s="7">
        <v>1</v>
      </c>
      <c r="C777" s="7">
        <f t="shared" si="32"/>
        <v>8</v>
      </c>
      <c r="D777" s="7">
        <v>199.7</v>
      </c>
      <c r="E777" s="7" t="s">
        <v>687</v>
      </c>
      <c r="G777" s="7">
        <v>1</v>
      </c>
      <c r="H777" s="7">
        <v>1</v>
      </c>
      <c r="I777" s="7">
        <v>1</v>
      </c>
      <c r="P777" s="7">
        <v>1</v>
      </c>
    </row>
    <row r="778" spans="1:18" x14ac:dyDescent="0.55000000000000004">
      <c r="A778" s="7">
        <v>27</v>
      </c>
      <c r="B778" s="7">
        <v>1</v>
      </c>
      <c r="C778" s="7">
        <f t="shared" si="32"/>
        <v>9</v>
      </c>
      <c r="D778" s="7">
        <v>175.2</v>
      </c>
      <c r="E778" s="7" t="s">
        <v>686</v>
      </c>
      <c r="G778" s="7">
        <v>1</v>
      </c>
      <c r="I778" s="7">
        <v>1</v>
      </c>
    </row>
    <row r="779" spans="1:18" x14ac:dyDescent="0.55000000000000004">
      <c r="A779" s="7">
        <v>27</v>
      </c>
      <c r="B779" s="7">
        <v>1</v>
      </c>
      <c r="C779" s="7">
        <f t="shared" si="32"/>
        <v>10</v>
      </c>
      <c r="D779" s="7">
        <v>149.6</v>
      </c>
      <c r="E779" s="7" t="s">
        <v>685</v>
      </c>
      <c r="G779" s="7">
        <v>1</v>
      </c>
      <c r="H779" s="7">
        <v>1</v>
      </c>
      <c r="I779" s="7">
        <v>1</v>
      </c>
      <c r="P779" s="7">
        <v>1</v>
      </c>
    </row>
    <row r="780" spans="1:18" x14ac:dyDescent="0.55000000000000004">
      <c r="A780" s="7">
        <v>27</v>
      </c>
      <c r="B780" s="7">
        <v>1</v>
      </c>
      <c r="C780" s="7">
        <f t="shared" si="32"/>
        <v>11</v>
      </c>
      <c r="D780" s="7">
        <v>129.9</v>
      </c>
      <c r="E780" s="7" t="s">
        <v>684</v>
      </c>
      <c r="G780" s="7">
        <v>1</v>
      </c>
      <c r="I780" s="7">
        <v>1</v>
      </c>
    </row>
    <row r="781" spans="1:18" x14ac:dyDescent="0.55000000000000004">
      <c r="A781" s="7">
        <v>27</v>
      </c>
      <c r="B781" s="7">
        <v>1</v>
      </c>
      <c r="C781" s="7">
        <f t="shared" si="32"/>
        <v>12</v>
      </c>
      <c r="D781" s="7">
        <v>115.4</v>
      </c>
      <c r="E781" s="7" t="s">
        <v>683</v>
      </c>
      <c r="G781" s="7">
        <v>1</v>
      </c>
      <c r="I781" s="7">
        <v>1</v>
      </c>
    </row>
    <row r="782" spans="1:18" x14ac:dyDescent="0.55000000000000004">
      <c r="A782" s="7">
        <v>27</v>
      </c>
      <c r="B782" s="7">
        <v>1</v>
      </c>
      <c r="C782" s="7">
        <f t="shared" si="32"/>
        <v>13</v>
      </c>
      <c r="D782" s="7">
        <v>99.7</v>
      </c>
      <c r="E782" s="7" t="s">
        <v>682</v>
      </c>
      <c r="G782" s="7">
        <v>1</v>
      </c>
      <c r="H782" s="7">
        <v>1</v>
      </c>
      <c r="I782" s="7">
        <v>1</v>
      </c>
      <c r="P782" s="7">
        <v>1</v>
      </c>
    </row>
    <row r="783" spans="1:18" x14ac:dyDescent="0.55000000000000004">
      <c r="A783" s="7">
        <v>27</v>
      </c>
      <c r="B783" s="7">
        <v>1</v>
      </c>
      <c r="C783" s="7">
        <f t="shared" si="32"/>
        <v>14</v>
      </c>
      <c r="D783" s="7">
        <v>94.8</v>
      </c>
      <c r="E783" s="7" t="s">
        <v>681</v>
      </c>
      <c r="G783" s="7">
        <v>1</v>
      </c>
      <c r="I783" s="7">
        <v>1</v>
      </c>
    </row>
    <row r="784" spans="1:18" x14ac:dyDescent="0.55000000000000004">
      <c r="A784" s="7">
        <v>27</v>
      </c>
      <c r="B784" s="7">
        <v>1</v>
      </c>
      <c r="C784" s="7">
        <f t="shared" si="32"/>
        <v>15</v>
      </c>
      <c r="D784" s="7">
        <v>70.099999999999994</v>
      </c>
      <c r="E784" s="7" t="s">
        <v>680</v>
      </c>
      <c r="G784" s="7">
        <v>1</v>
      </c>
      <c r="H784" s="7">
        <v>1</v>
      </c>
      <c r="I784" s="7">
        <v>1</v>
      </c>
      <c r="P784" s="7">
        <v>1</v>
      </c>
    </row>
    <row r="785" spans="1:17" x14ac:dyDescent="0.55000000000000004">
      <c r="A785" s="7">
        <v>27</v>
      </c>
      <c r="B785" s="7">
        <v>1</v>
      </c>
      <c r="C785" s="7">
        <f t="shared" si="32"/>
        <v>16</v>
      </c>
      <c r="D785" s="7">
        <v>55</v>
      </c>
      <c r="E785" s="7" t="s">
        <v>679</v>
      </c>
      <c r="G785" s="7">
        <v>1</v>
      </c>
      <c r="H785" s="7">
        <v>1</v>
      </c>
      <c r="I785" s="7">
        <v>1</v>
      </c>
      <c r="J785" s="7">
        <v>1</v>
      </c>
      <c r="P785" s="7">
        <v>1</v>
      </c>
    </row>
    <row r="786" spans="1:17" x14ac:dyDescent="0.55000000000000004">
      <c r="A786" s="7">
        <v>27</v>
      </c>
      <c r="B786" s="7">
        <v>1</v>
      </c>
      <c r="C786" s="7">
        <f t="shared" si="32"/>
        <v>17</v>
      </c>
      <c r="D786" s="7">
        <v>40.1</v>
      </c>
      <c r="E786" s="7" t="s">
        <v>678</v>
      </c>
      <c r="G786" s="7">
        <v>1</v>
      </c>
      <c r="H786" s="7">
        <v>1</v>
      </c>
      <c r="I786" s="7">
        <v>1</v>
      </c>
      <c r="J786" s="7">
        <v>1</v>
      </c>
      <c r="P786" s="7">
        <v>1</v>
      </c>
    </row>
    <row r="787" spans="1:17" x14ac:dyDescent="0.55000000000000004">
      <c r="A787" s="7">
        <v>27</v>
      </c>
      <c r="B787" s="7">
        <v>1</v>
      </c>
      <c r="C787" s="7">
        <f t="shared" si="32"/>
        <v>18</v>
      </c>
      <c r="D787" s="7">
        <v>40.1</v>
      </c>
      <c r="E787" s="7" t="s">
        <v>678</v>
      </c>
    </row>
    <row r="788" spans="1:17" x14ac:dyDescent="0.55000000000000004">
      <c r="A788" s="7">
        <v>27</v>
      </c>
      <c r="B788" s="7">
        <v>1</v>
      </c>
      <c r="C788" s="7">
        <f t="shared" si="32"/>
        <v>19</v>
      </c>
      <c r="D788" s="7">
        <v>29.6</v>
      </c>
      <c r="E788" s="7" t="s">
        <v>677</v>
      </c>
      <c r="G788" s="7">
        <v>1</v>
      </c>
      <c r="H788" s="7">
        <v>1</v>
      </c>
      <c r="I788" s="7">
        <v>1</v>
      </c>
      <c r="J788" s="7">
        <v>1</v>
      </c>
      <c r="P788" s="7">
        <v>1</v>
      </c>
    </row>
    <row r="789" spans="1:17" x14ac:dyDescent="0.55000000000000004">
      <c r="A789" s="7">
        <v>27</v>
      </c>
      <c r="B789" s="7">
        <v>1</v>
      </c>
      <c r="C789" s="7">
        <f>C788+1</f>
        <v>20</v>
      </c>
      <c r="D789" s="7">
        <v>19.899999999999999</v>
      </c>
      <c r="E789" s="7" t="s">
        <v>676</v>
      </c>
      <c r="G789" s="7">
        <v>1</v>
      </c>
      <c r="H789" s="7">
        <v>1</v>
      </c>
      <c r="I789" s="7">
        <v>1</v>
      </c>
      <c r="J789" s="7">
        <v>1</v>
      </c>
      <c r="P789" s="7">
        <v>1</v>
      </c>
    </row>
    <row r="790" spans="1:17" x14ac:dyDescent="0.55000000000000004">
      <c r="A790" s="7">
        <v>27</v>
      </c>
      <c r="B790" s="7">
        <v>1</v>
      </c>
      <c r="C790" s="7">
        <f t="shared" si="32"/>
        <v>21</v>
      </c>
      <c r="D790" s="7">
        <v>9.9</v>
      </c>
      <c r="E790" s="7" t="s">
        <v>675</v>
      </c>
      <c r="G790" s="7">
        <v>1</v>
      </c>
      <c r="H790" s="7">
        <v>1</v>
      </c>
      <c r="I790" s="7">
        <v>1</v>
      </c>
      <c r="J790" s="7">
        <v>1</v>
      </c>
      <c r="P790" s="7">
        <v>1</v>
      </c>
    </row>
    <row r="791" spans="1:17" x14ac:dyDescent="0.55000000000000004">
      <c r="A791" s="7">
        <v>27</v>
      </c>
      <c r="B791" s="7">
        <v>1</v>
      </c>
      <c r="C791" s="7">
        <f t="shared" si="32"/>
        <v>22</v>
      </c>
      <c r="D791" s="7">
        <v>2.4</v>
      </c>
      <c r="E791" s="7" t="s">
        <v>674</v>
      </c>
    </row>
    <row r="792" spans="1:17" x14ac:dyDescent="0.55000000000000004">
      <c r="A792" s="7">
        <v>27</v>
      </c>
      <c r="B792" s="7">
        <v>1</v>
      </c>
      <c r="C792" s="7">
        <f t="shared" si="32"/>
        <v>23</v>
      </c>
      <c r="D792" s="7">
        <v>2.4</v>
      </c>
      <c r="E792" s="7" t="s">
        <v>674</v>
      </c>
    </row>
    <row r="793" spans="1:17" x14ac:dyDescent="0.55000000000000004">
      <c r="A793" s="7">
        <v>27</v>
      </c>
      <c r="B793" s="7">
        <v>1</v>
      </c>
      <c r="C793" s="7">
        <f t="shared" si="32"/>
        <v>24</v>
      </c>
      <c r="D793" s="7">
        <v>2.4</v>
      </c>
      <c r="E793" s="7" t="s">
        <v>674</v>
      </c>
      <c r="G793" s="7">
        <v>1</v>
      </c>
      <c r="I793" s="7">
        <v>1</v>
      </c>
      <c r="J793" s="7">
        <v>1</v>
      </c>
      <c r="P793" s="7">
        <v>1</v>
      </c>
    </row>
    <row r="794" spans="1:17" x14ac:dyDescent="0.55000000000000004">
      <c r="A794" s="7">
        <v>30</v>
      </c>
      <c r="B794" s="7">
        <v>1</v>
      </c>
      <c r="C794" s="7">
        <v>1</v>
      </c>
      <c r="D794" s="7">
        <v>1795</v>
      </c>
      <c r="E794" s="7" t="s">
        <v>747</v>
      </c>
      <c r="G794" s="7">
        <v>1</v>
      </c>
      <c r="I794" s="7">
        <v>1</v>
      </c>
      <c r="M794" s="7">
        <v>1</v>
      </c>
      <c r="N794" s="7">
        <v>1</v>
      </c>
      <c r="Q794" s="7">
        <v>1</v>
      </c>
    </row>
    <row r="795" spans="1:17" x14ac:dyDescent="0.55000000000000004">
      <c r="A795" s="7">
        <v>30</v>
      </c>
      <c r="B795" s="7">
        <v>1</v>
      </c>
      <c r="C795" s="7">
        <f>C794+1</f>
        <v>2</v>
      </c>
      <c r="D795" s="7">
        <v>1499.4</v>
      </c>
      <c r="E795" s="7" t="s">
        <v>748</v>
      </c>
      <c r="F795" s="7">
        <v>1</v>
      </c>
      <c r="G795" s="7">
        <v>1</v>
      </c>
      <c r="I795" s="7">
        <v>1</v>
      </c>
      <c r="M795" s="7">
        <v>1</v>
      </c>
      <c r="N795" s="7">
        <v>1</v>
      </c>
    </row>
    <row r="796" spans="1:17" x14ac:dyDescent="0.55000000000000004">
      <c r="A796" s="7">
        <v>30</v>
      </c>
      <c r="B796" s="7">
        <v>1</v>
      </c>
      <c r="C796" s="7">
        <f t="shared" ref="C796:C817" si="33">C795+1</f>
        <v>3</v>
      </c>
      <c r="D796" s="7">
        <v>1000.2</v>
      </c>
      <c r="E796" s="7" t="s">
        <v>749</v>
      </c>
      <c r="F796" s="7">
        <v>1</v>
      </c>
      <c r="G796" s="7">
        <v>1</v>
      </c>
      <c r="H796" s="7">
        <v>1</v>
      </c>
      <c r="I796" s="7">
        <v>1</v>
      </c>
      <c r="O796" s="7">
        <v>1</v>
      </c>
      <c r="P796" s="7">
        <v>1</v>
      </c>
      <c r="Q796" s="7">
        <v>1</v>
      </c>
    </row>
    <row r="797" spans="1:17" x14ac:dyDescent="0.55000000000000004">
      <c r="A797" s="7">
        <v>30</v>
      </c>
      <c r="B797" s="7">
        <v>1</v>
      </c>
      <c r="C797" s="7">
        <f t="shared" si="33"/>
        <v>4</v>
      </c>
      <c r="D797" s="7">
        <v>749.8</v>
      </c>
      <c r="E797" s="7" t="s">
        <v>750</v>
      </c>
      <c r="G797" s="7">
        <v>1</v>
      </c>
      <c r="I797" s="7">
        <v>1</v>
      </c>
    </row>
    <row r="798" spans="1:17" x14ac:dyDescent="0.55000000000000004">
      <c r="A798" s="7">
        <v>30</v>
      </c>
      <c r="B798" s="7">
        <v>1</v>
      </c>
      <c r="C798" s="7">
        <f t="shared" si="33"/>
        <v>5</v>
      </c>
      <c r="D798" s="7">
        <v>499.5</v>
      </c>
      <c r="E798" s="7" t="s">
        <v>751</v>
      </c>
      <c r="F798" s="7">
        <v>1</v>
      </c>
      <c r="G798" s="7">
        <v>1</v>
      </c>
      <c r="I798" s="7">
        <v>1</v>
      </c>
      <c r="O798" s="7">
        <v>1</v>
      </c>
      <c r="P798" s="7">
        <v>1</v>
      </c>
      <c r="Q798" s="7">
        <v>1</v>
      </c>
    </row>
    <row r="799" spans="1:17" x14ac:dyDescent="0.55000000000000004">
      <c r="A799" s="7">
        <v>30</v>
      </c>
      <c r="B799" s="7">
        <v>1</v>
      </c>
      <c r="C799" s="7">
        <f t="shared" si="33"/>
        <v>6</v>
      </c>
      <c r="D799" s="7">
        <v>300.3</v>
      </c>
      <c r="E799" s="7" t="s">
        <v>752</v>
      </c>
      <c r="G799" s="7">
        <v>1</v>
      </c>
      <c r="H799" s="7">
        <v>1</v>
      </c>
      <c r="I799" s="7">
        <v>1</v>
      </c>
      <c r="M799" s="7">
        <v>1</v>
      </c>
      <c r="N799" s="7">
        <v>1</v>
      </c>
      <c r="P799" s="7">
        <v>1</v>
      </c>
      <c r="Q799" s="7">
        <v>1</v>
      </c>
    </row>
    <row r="800" spans="1:17" x14ac:dyDescent="0.55000000000000004">
      <c r="A800" s="7">
        <v>30</v>
      </c>
      <c r="B800" s="7">
        <v>1</v>
      </c>
      <c r="C800" s="7">
        <f t="shared" si="33"/>
        <v>7</v>
      </c>
      <c r="D800" s="7">
        <v>250.2</v>
      </c>
      <c r="E800" s="7" t="s">
        <v>753</v>
      </c>
      <c r="G800" s="7">
        <v>1</v>
      </c>
      <c r="H800" s="7">
        <v>1</v>
      </c>
      <c r="I800" s="7">
        <v>1</v>
      </c>
      <c r="O800" s="7">
        <v>1</v>
      </c>
      <c r="P800" s="7">
        <v>1</v>
      </c>
      <c r="Q800" s="7">
        <v>1</v>
      </c>
    </row>
    <row r="801" spans="1:20" x14ac:dyDescent="0.55000000000000004">
      <c r="A801" s="7">
        <v>30</v>
      </c>
      <c r="B801" s="7">
        <v>1</v>
      </c>
      <c r="C801" s="7">
        <f t="shared" si="33"/>
        <v>8</v>
      </c>
      <c r="D801" s="7">
        <v>200.1</v>
      </c>
      <c r="E801" s="7" t="s">
        <v>754</v>
      </c>
      <c r="F801" s="7">
        <v>1</v>
      </c>
      <c r="G801" s="7">
        <v>1</v>
      </c>
      <c r="H801" s="7">
        <v>1</v>
      </c>
      <c r="I801" s="7">
        <v>1</v>
      </c>
      <c r="M801" s="7">
        <v>1</v>
      </c>
      <c r="N801" s="7">
        <v>1</v>
      </c>
      <c r="P801" s="7">
        <v>1</v>
      </c>
      <c r="Q801" s="7">
        <v>1</v>
      </c>
    </row>
    <row r="802" spans="1:20" x14ac:dyDescent="0.55000000000000004">
      <c r="A802" s="7">
        <v>30</v>
      </c>
      <c r="B802" s="7">
        <v>1</v>
      </c>
      <c r="C802" s="7">
        <f t="shared" si="33"/>
        <v>9</v>
      </c>
      <c r="D802" s="7">
        <v>175.3</v>
      </c>
      <c r="E802" s="7" t="s">
        <v>755</v>
      </c>
      <c r="G802" s="7">
        <v>1</v>
      </c>
      <c r="H802" s="7">
        <v>1</v>
      </c>
      <c r="I802" s="7">
        <v>1</v>
      </c>
    </row>
    <row r="803" spans="1:20" x14ac:dyDescent="0.55000000000000004">
      <c r="A803" s="7">
        <v>30</v>
      </c>
      <c r="B803" s="7">
        <v>1</v>
      </c>
      <c r="C803" s="7">
        <f t="shared" si="33"/>
        <v>10</v>
      </c>
      <c r="D803" s="7">
        <v>150.4</v>
      </c>
      <c r="E803" s="7" t="s">
        <v>756</v>
      </c>
      <c r="G803" s="7">
        <v>1</v>
      </c>
      <c r="H803" s="7">
        <v>1</v>
      </c>
      <c r="I803" s="7">
        <v>1</v>
      </c>
      <c r="O803" s="7">
        <v>1</v>
      </c>
      <c r="P803" s="7">
        <v>1</v>
      </c>
      <c r="Q803" s="7">
        <v>1</v>
      </c>
    </row>
    <row r="804" spans="1:20" x14ac:dyDescent="0.55000000000000004">
      <c r="A804" s="7">
        <v>30</v>
      </c>
      <c r="B804" s="7">
        <v>1</v>
      </c>
      <c r="C804" s="7">
        <f t="shared" si="33"/>
        <v>11</v>
      </c>
      <c r="D804" s="7">
        <v>130.1</v>
      </c>
      <c r="E804" s="7" t="s">
        <v>757</v>
      </c>
      <c r="G804" s="7">
        <v>1</v>
      </c>
      <c r="H804" s="7">
        <v>1</v>
      </c>
      <c r="I804" s="7">
        <v>1</v>
      </c>
    </row>
    <row r="805" spans="1:20" x14ac:dyDescent="0.55000000000000004">
      <c r="A805" s="7">
        <v>30</v>
      </c>
      <c r="B805" s="7">
        <v>1</v>
      </c>
      <c r="C805" s="7">
        <f t="shared" si="33"/>
        <v>12</v>
      </c>
      <c r="D805" s="7">
        <v>114.8</v>
      </c>
      <c r="E805" s="7" t="s">
        <v>758</v>
      </c>
      <c r="G805" s="7">
        <v>1</v>
      </c>
      <c r="H805" s="7">
        <v>1</v>
      </c>
      <c r="I805" s="7">
        <v>1</v>
      </c>
    </row>
    <row r="806" spans="1:20" x14ac:dyDescent="0.55000000000000004">
      <c r="A806" s="7">
        <v>30</v>
      </c>
      <c r="B806" s="7">
        <v>1</v>
      </c>
      <c r="C806" s="7">
        <f t="shared" si="33"/>
        <v>13</v>
      </c>
      <c r="D806" s="7">
        <v>99.7</v>
      </c>
      <c r="E806" s="7" t="s">
        <v>759</v>
      </c>
      <c r="G806" s="7">
        <v>1</v>
      </c>
      <c r="H806" s="7">
        <v>1</v>
      </c>
      <c r="I806" s="7">
        <v>1</v>
      </c>
      <c r="M806" s="7">
        <v>1</v>
      </c>
      <c r="N806" s="7">
        <v>1</v>
      </c>
      <c r="O806" s="7">
        <v>1</v>
      </c>
      <c r="P806" s="7">
        <v>1</v>
      </c>
      <c r="Q806" s="7">
        <v>1</v>
      </c>
    </row>
    <row r="807" spans="1:20" x14ac:dyDescent="0.55000000000000004">
      <c r="A807" s="7">
        <v>30</v>
      </c>
      <c r="B807" s="7">
        <v>1</v>
      </c>
      <c r="C807" s="7">
        <f t="shared" si="33"/>
        <v>14</v>
      </c>
      <c r="D807" s="7">
        <v>69.8</v>
      </c>
      <c r="T807" s="7" t="s">
        <v>766</v>
      </c>
    </row>
    <row r="808" spans="1:20" x14ac:dyDescent="0.55000000000000004">
      <c r="A808" s="7">
        <v>30</v>
      </c>
      <c r="B808" s="7">
        <v>1</v>
      </c>
      <c r="C808" s="7">
        <f t="shared" si="33"/>
        <v>15</v>
      </c>
      <c r="D808" s="7">
        <v>69.8</v>
      </c>
      <c r="E808" s="7" t="s">
        <v>760</v>
      </c>
      <c r="G808" s="7">
        <v>1</v>
      </c>
      <c r="H808" s="7">
        <v>1</v>
      </c>
      <c r="I808" s="7">
        <v>1</v>
      </c>
      <c r="O808" s="7">
        <v>1</v>
      </c>
      <c r="P808" s="7">
        <v>1</v>
      </c>
    </row>
    <row r="809" spans="1:20" x14ac:dyDescent="0.55000000000000004">
      <c r="A809" s="7">
        <v>30</v>
      </c>
      <c r="B809" s="7">
        <v>1</v>
      </c>
      <c r="C809" s="7">
        <f t="shared" si="33"/>
        <v>16</v>
      </c>
      <c r="D809" s="7">
        <v>55.2</v>
      </c>
      <c r="E809" s="7" t="s">
        <v>761</v>
      </c>
      <c r="G809" s="7">
        <v>1</v>
      </c>
      <c r="H809" s="7">
        <v>1</v>
      </c>
      <c r="I809" s="7">
        <v>1</v>
      </c>
      <c r="J809" s="7">
        <v>1</v>
      </c>
      <c r="O809" s="7">
        <v>1</v>
      </c>
      <c r="P809" s="7">
        <v>1</v>
      </c>
    </row>
    <row r="810" spans="1:20" x14ac:dyDescent="0.55000000000000004">
      <c r="A810" s="7">
        <v>30</v>
      </c>
      <c r="B810" s="7">
        <v>1</v>
      </c>
      <c r="C810" s="7">
        <f t="shared" si="33"/>
        <v>17</v>
      </c>
      <c r="D810" s="7">
        <v>40.1</v>
      </c>
      <c r="E810" s="7" t="s">
        <v>762</v>
      </c>
      <c r="G810" s="7">
        <v>1</v>
      </c>
      <c r="H810" s="7">
        <v>1</v>
      </c>
      <c r="I810" s="7">
        <v>1</v>
      </c>
      <c r="J810" s="7">
        <v>1</v>
      </c>
      <c r="M810" s="7">
        <v>1</v>
      </c>
      <c r="N810" s="7">
        <v>1</v>
      </c>
      <c r="P810" s="7">
        <v>1</v>
      </c>
    </row>
    <row r="811" spans="1:20" x14ac:dyDescent="0.55000000000000004">
      <c r="A811" s="7">
        <v>30</v>
      </c>
      <c r="B811" s="7">
        <v>1</v>
      </c>
      <c r="C811" s="7">
        <f t="shared" si="33"/>
        <v>18</v>
      </c>
      <c r="D811" s="7">
        <v>40.1</v>
      </c>
      <c r="E811" s="7" t="s">
        <v>762</v>
      </c>
    </row>
    <row r="812" spans="1:20" x14ac:dyDescent="0.55000000000000004">
      <c r="A812" s="7">
        <v>30</v>
      </c>
      <c r="B812" s="7">
        <v>1</v>
      </c>
      <c r="C812" s="7">
        <f t="shared" si="33"/>
        <v>19</v>
      </c>
      <c r="D812" s="7">
        <v>30.1</v>
      </c>
      <c r="E812" s="7" t="s">
        <v>763</v>
      </c>
      <c r="F812" s="7">
        <v>1</v>
      </c>
      <c r="G812" s="7">
        <v>1</v>
      </c>
      <c r="H812" s="7">
        <v>1</v>
      </c>
      <c r="I812" s="7">
        <v>1</v>
      </c>
      <c r="J812" s="7">
        <v>1</v>
      </c>
      <c r="O812" s="7">
        <v>1</v>
      </c>
      <c r="P812" s="7">
        <v>1</v>
      </c>
    </row>
    <row r="813" spans="1:20" x14ac:dyDescent="0.55000000000000004">
      <c r="A813" s="7">
        <v>30</v>
      </c>
      <c r="B813" s="7">
        <v>1</v>
      </c>
      <c r="C813" s="7">
        <f t="shared" si="33"/>
        <v>20</v>
      </c>
      <c r="D813" s="7">
        <v>19.600000000000001</v>
      </c>
      <c r="E813" s="7" t="s">
        <v>764</v>
      </c>
      <c r="G813" s="7">
        <v>1</v>
      </c>
      <c r="H813" s="7">
        <v>1</v>
      </c>
      <c r="I813" s="7">
        <v>1</v>
      </c>
      <c r="J813" s="7">
        <v>1</v>
      </c>
      <c r="M813" s="7">
        <v>1</v>
      </c>
      <c r="N813" s="7">
        <v>1</v>
      </c>
      <c r="P813" s="7">
        <v>1</v>
      </c>
      <c r="Q813" s="7">
        <v>1</v>
      </c>
    </row>
    <row r="814" spans="1:20" x14ac:dyDescent="0.55000000000000004">
      <c r="A814" s="7">
        <v>30</v>
      </c>
      <c r="B814" s="7">
        <v>1</v>
      </c>
      <c r="C814" s="7">
        <f t="shared" si="33"/>
        <v>21</v>
      </c>
      <c r="D814" s="7">
        <v>10.199999999999999</v>
      </c>
      <c r="T814" s="7" t="s">
        <v>767</v>
      </c>
    </row>
    <row r="815" spans="1:20" x14ac:dyDescent="0.55000000000000004">
      <c r="A815" s="7">
        <v>30</v>
      </c>
      <c r="B815" s="7">
        <v>1</v>
      </c>
      <c r="C815" s="7">
        <f t="shared" si="33"/>
        <v>22</v>
      </c>
      <c r="D815" s="7">
        <v>2.4</v>
      </c>
      <c r="E815" s="7" t="s">
        <v>765</v>
      </c>
    </row>
    <row r="816" spans="1:20" x14ac:dyDescent="0.55000000000000004">
      <c r="A816" s="7">
        <v>30</v>
      </c>
      <c r="B816" s="7">
        <v>1</v>
      </c>
      <c r="C816" s="7">
        <f t="shared" si="33"/>
        <v>23</v>
      </c>
      <c r="D816" s="7">
        <v>2.4</v>
      </c>
      <c r="E816" s="7" t="s">
        <v>765</v>
      </c>
    </row>
    <row r="817" spans="1:18" x14ac:dyDescent="0.55000000000000004">
      <c r="A817" s="7">
        <v>30</v>
      </c>
      <c r="B817" s="7">
        <v>1</v>
      </c>
      <c r="C817" s="7">
        <f t="shared" si="33"/>
        <v>24</v>
      </c>
      <c r="D817" s="7">
        <v>2.4</v>
      </c>
      <c r="E817" s="7" t="s">
        <v>765</v>
      </c>
      <c r="F817" s="7">
        <v>1</v>
      </c>
      <c r="G817" s="7">
        <v>1</v>
      </c>
      <c r="I817" s="7">
        <v>1</v>
      </c>
      <c r="J817" s="7">
        <v>1</v>
      </c>
      <c r="M817" s="7">
        <v>1</v>
      </c>
      <c r="N817" s="7">
        <v>1</v>
      </c>
      <c r="O817" s="7">
        <v>1</v>
      </c>
      <c r="P817" s="7">
        <v>1</v>
      </c>
      <c r="Q817" s="7">
        <v>1</v>
      </c>
      <c r="R817" s="7">
        <v>1</v>
      </c>
    </row>
    <row r="818" spans="1:18" x14ac:dyDescent="0.55000000000000004">
      <c r="A818" s="7">
        <v>31</v>
      </c>
      <c r="B818" s="7">
        <v>1</v>
      </c>
      <c r="C818" s="7">
        <v>1</v>
      </c>
      <c r="D818" s="7">
        <v>1200</v>
      </c>
      <c r="E818" s="7" t="s">
        <v>768</v>
      </c>
      <c r="G818" s="7">
        <v>1</v>
      </c>
      <c r="I818" s="7">
        <v>1</v>
      </c>
    </row>
    <row r="819" spans="1:18" x14ac:dyDescent="0.55000000000000004">
      <c r="A819" s="7">
        <v>31</v>
      </c>
      <c r="B819" s="7">
        <v>1</v>
      </c>
      <c r="C819" s="7">
        <f>C818+1</f>
        <v>2</v>
      </c>
      <c r="D819" s="7">
        <v>1200</v>
      </c>
      <c r="E819" s="7" t="s">
        <v>768</v>
      </c>
    </row>
    <row r="820" spans="1:18" x14ac:dyDescent="0.55000000000000004">
      <c r="A820" s="7">
        <v>31</v>
      </c>
      <c r="B820" s="7">
        <v>1</v>
      </c>
      <c r="C820" s="7">
        <f t="shared" ref="C820:C841" si="34">C819+1</f>
        <v>3</v>
      </c>
      <c r="D820" s="7">
        <v>1000</v>
      </c>
      <c r="E820" s="7" t="s">
        <v>769</v>
      </c>
      <c r="G820" s="7">
        <v>1</v>
      </c>
      <c r="I820" s="7">
        <v>1</v>
      </c>
    </row>
    <row r="821" spans="1:18" x14ac:dyDescent="0.55000000000000004">
      <c r="A821" s="7">
        <v>31</v>
      </c>
      <c r="B821" s="7">
        <v>1</v>
      </c>
      <c r="C821" s="7">
        <f t="shared" si="34"/>
        <v>4</v>
      </c>
      <c r="D821" s="7">
        <v>750</v>
      </c>
      <c r="E821" s="7" t="s">
        <v>770</v>
      </c>
      <c r="G821" s="7">
        <v>1</v>
      </c>
      <c r="I821" s="7">
        <v>1</v>
      </c>
    </row>
    <row r="822" spans="1:18" x14ac:dyDescent="0.55000000000000004">
      <c r="A822" s="7">
        <v>31</v>
      </c>
      <c r="B822" s="7">
        <v>1</v>
      </c>
      <c r="C822" s="7">
        <f t="shared" si="34"/>
        <v>5</v>
      </c>
      <c r="D822" s="7">
        <v>500</v>
      </c>
      <c r="E822" s="7" t="s">
        <v>771</v>
      </c>
      <c r="G822" s="7">
        <v>1</v>
      </c>
      <c r="I822" s="7">
        <v>1</v>
      </c>
      <c r="P822" s="7">
        <v>1</v>
      </c>
    </row>
    <row r="823" spans="1:18" x14ac:dyDescent="0.55000000000000004">
      <c r="A823" s="7">
        <v>31</v>
      </c>
      <c r="B823" s="7">
        <v>1</v>
      </c>
      <c r="C823" s="7">
        <f t="shared" si="34"/>
        <v>6</v>
      </c>
      <c r="D823" s="7">
        <v>300</v>
      </c>
      <c r="E823" s="7" t="s">
        <v>772</v>
      </c>
      <c r="G823" s="7">
        <v>1</v>
      </c>
      <c r="H823" s="7">
        <v>1</v>
      </c>
      <c r="I823" s="7">
        <v>1</v>
      </c>
      <c r="P823" s="7">
        <v>1</v>
      </c>
    </row>
    <row r="824" spans="1:18" x14ac:dyDescent="0.55000000000000004">
      <c r="A824" s="7">
        <v>31</v>
      </c>
      <c r="B824" s="7">
        <v>1</v>
      </c>
      <c r="C824" s="7">
        <f t="shared" si="34"/>
        <v>7</v>
      </c>
      <c r="D824" s="7">
        <v>250</v>
      </c>
      <c r="E824" s="7" t="s">
        <v>773</v>
      </c>
      <c r="G824" s="7">
        <v>1</v>
      </c>
      <c r="H824" s="7">
        <v>1</v>
      </c>
      <c r="I824" s="7">
        <v>1</v>
      </c>
      <c r="P824" s="7">
        <v>1</v>
      </c>
    </row>
    <row r="825" spans="1:18" x14ac:dyDescent="0.55000000000000004">
      <c r="A825" s="7">
        <v>31</v>
      </c>
      <c r="B825" s="7">
        <v>1</v>
      </c>
      <c r="C825" s="7">
        <f t="shared" si="34"/>
        <v>8</v>
      </c>
      <c r="D825" s="7">
        <v>199</v>
      </c>
      <c r="E825" s="7" t="s">
        <v>774</v>
      </c>
      <c r="G825" s="7">
        <v>1</v>
      </c>
      <c r="H825" s="7">
        <v>1</v>
      </c>
      <c r="I825" s="7">
        <v>1</v>
      </c>
      <c r="P825" s="7">
        <v>1</v>
      </c>
    </row>
    <row r="826" spans="1:18" x14ac:dyDescent="0.55000000000000004">
      <c r="A826" s="7">
        <v>31</v>
      </c>
      <c r="B826" s="7">
        <v>1</v>
      </c>
      <c r="C826" s="7">
        <f t="shared" si="34"/>
        <v>9</v>
      </c>
      <c r="D826" s="7">
        <v>175</v>
      </c>
      <c r="E826" s="7" t="s">
        <v>775</v>
      </c>
      <c r="G826" s="7">
        <v>1</v>
      </c>
      <c r="I826" s="7">
        <v>1</v>
      </c>
      <c r="P826" s="7">
        <v>1</v>
      </c>
    </row>
    <row r="827" spans="1:18" x14ac:dyDescent="0.55000000000000004">
      <c r="A827" s="7">
        <v>31</v>
      </c>
      <c r="B827" s="7">
        <v>1</v>
      </c>
      <c r="C827" s="7">
        <f t="shared" si="34"/>
        <v>10</v>
      </c>
      <c r="D827" s="7">
        <v>150</v>
      </c>
      <c r="E827" s="7" t="s">
        <v>776</v>
      </c>
      <c r="G827" s="7">
        <v>1</v>
      </c>
      <c r="H827" s="7">
        <v>1</v>
      </c>
      <c r="I827" s="7">
        <v>1</v>
      </c>
      <c r="P827" s="7">
        <v>1</v>
      </c>
    </row>
    <row r="828" spans="1:18" x14ac:dyDescent="0.55000000000000004">
      <c r="A828" s="7">
        <v>31</v>
      </c>
      <c r="B828" s="7">
        <v>1</v>
      </c>
      <c r="C828" s="7">
        <f t="shared" si="34"/>
        <v>11</v>
      </c>
      <c r="D828" s="7">
        <v>130</v>
      </c>
      <c r="E828" s="7" t="s">
        <v>777</v>
      </c>
      <c r="G828" s="7">
        <v>1</v>
      </c>
      <c r="I828" s="7">
        <v>1</v>
      </c>
      <c r="P828" s="7">
        <v>1</v>
      </c>
    </row>
    <row r="829" spans="1:18" x14ac:dyDescent="0.55000000000000004">
      <c r="A829" s="7">
        <v>31</v>
      </c>
      <c r="B829" s="7">
        <v>1</v>
      </c>
      <c r="C829" s="7">
        <f t="shared" si="34"/>
        <v>12</v>
      </c>
      <c r="D829" s="7">
        <v>115</v>
      </c>
      <c r="E829" s="7" t="s">
        <v>778</v>
      </c>
      <c r="G829" s="7">
        <v>1</v>
      </c>
      <c r="I829" s="7">
        <v>1</v>
      </c>
      <c r="P829" s="7">
        <v>1</v>
      </c>
    </row>
    <row r="830" spans="1:18" x14ac:dyDescent="0.55000000000000004">
      <c r="A830" s="7">
        <v>31</v>
      </c>
      <c r="B830" s="7">
        <v>1</v>
      </c>
      <c r="C830" s="7">
        <f t="shared" si="34"/>
        <v>13</v>
      </c>
      <c r="D830" s="7">
        <v>99</v>
      </c>
      <c r="E830" s="7" t="s">
        <v>779</v>
      </c>
      <c r="G830" s="7">
        <v>1</v>
      </c>
      <c r="H830" s="7">
        <v>1</v>
      </c>
      <c r="I830" s="7">
        <v>1</v>
      </c>
      <c r="P830" s="7">
        <v>1</v>
      </c>
    </row>
    <row r="831" spans="1:18" x14ac:dyDescent="0.55000000000000004">
      <c r="A831" s="7">
        <v>31</v>
      </c>
      <c r="B831" s="7">
        <v>1</v>
      </c>
      <c r="C831" s="7">
        <f t="shared" si="34"/>
        <v>14</v>
      </c>
      <c r="D831" s="7">
        <v>85</v>
      </c>
      <c r="E831" s="7" t="s">
        <v>780</v>
      </c>
      <c r="G831" s="7">
        <v>1</v>
      </c>
      <c r="I831" s="7">
        <v>1</v>
      </c>
      <c r="P831" s="7">
        <v>1</v>
      </c>
    </row>
    <row r="832" spans="1:18" x14ac:dyDescent="0.55000000000000004">
      <c r="A832" s="7">
        <v>31</v>
      </c>
      <c r="B832" s="7">
        <v>1</v>
      </c>
      <c r="C832" s="7">
        <f t="shared" si="34"/>
        <v>15</v>
      </c>
      <c r="D832" s="7">
        <v>69</v>
      </c>
      <c r="E832" s="7" t="s">
        <v>781</v>
      </c>
      <c r="G832" s="7">
        <v>1</v>
      </c>
      <c r="H832" s="7">
        <v>1</v>
      </c>
      <c r="I832" s="7">
        <v>1</v>
      </c>
      <c r="P832" s="7">
        <v>1</v>
      </c>
    </row>
    <row r="833" spans="1:18" x14ac:dyDescent="0.55000000000000004">
      <c r="A833" s="7">
        <v>31</v>
      </c>
      <c r="B833" s="7">
        <v>1</v>
      </c>
      <c r="C833" s="7">
        <f t="shared" si="34"/>
        <v>16</v>
      </c>
      <c r="D833" s="7">
        <v>55</v>
      </c>
      <c r="E833" s="7" t="s">
        <v>782</v>
      </c>
      <c r="G833" s="7">
        <v>1</v>
      </c>
      <c r="H833" s="7">
        <v>1</v>
      </c>
      <c r="I833" s="7">
        <v>1</v>
      </c>
      <c r="J833" s="7">
        <v>1</v>
      </c>
      <c r="P833" s="7">
        <v>1</v>
      </c>
    </row>
    <row r="834" spans="1:18" x14ac:dyDescent="0.55000000000000004">
      <c r="A834" s="7">
        <v>31</v>
      </c>
      <c r="B834" s="7">
        <v>1</v>
      </c>
      <c r="C834" s="7">
        <f t="shared" si="34"/>
        <v>17</v>
      </c>
      <c r="D834" s="7">
        <v>40</v>
      </c>
      <c r="E834" s="7" t="s">
        <v>783</v>
      </c>
      <c r="G834" s="7">
        <v>1</v>
      </c>
      <c r="H834" s="7">
        <v>1</v>
      </c>
      <c r="I834" s="7">
        <v>1</v>
      </c>
      <c r="J834" s="7">
        <v>1</v>
      </c>
      <c r="P834" s="7">
        <v>1</v>
      </c>
    </row>
    <row r="835" spans="1:18" x14ac:dyDescent="0.55000000000000004">
      <c r="A835" s="7">
        <v>31</v>
      </c>
      <c r="B835" s="7">
        <v>1</v>
      </c>
      <c r="C835" s="7">
        <f t="shared" si="34"/>
        <v>18</v>
      </c>
      <c r="D835" s="7">
        <v>40</v>
      </c>
      <c r="E835" s="7" t="s">
        <v>783</v>
      </c>
    </row>
    <row r="836" spans="1:18" x14ac:dyDescent="0.55000000000000004">
      <c r="A836" s="7">
        <v>31</v>
      </c>
      <c r="B836" s="7">
        <v>1</v>
      </c>
      <c r="C836" s="7">
        <f t="shared" si="34"/>
        <v>19</v>
      </c>
      <c r="D836" s="7">
        <v>29</v>
      </c>
      <c r="E836" s="7" t="s">
        <v>784</v>
      </c>
      <c r="G836" s="7">
        <v>1</v>
      </c>
      <c r="H836" s="7">
        <v>1</v>
      </c>
      <c r="I836" s="7">
        <v>1</v>
      </c>
      <c r="J836" s="7">
        <v>1</v>
      </c>
      <c r="P836" s="7">
        <v>1</v>
      </c>
    </row>
    <row r="837" spans="1:18" x14ac:dyDescent="0.55000000000000004">
      <c r="A837" s="7">
        <v>31</v>
      </c>
      <c r="B837" s="7">
        <v>1</v>
      </c>
      <c r="C837" s="7">
        <f t="shared" si="34"/>
        <v>20</v>
      </c>
      <c r="D837" s="7">
        <v>19</v>
      </c>
      <c r="E837" s="7" t="s">
        <v>785</v>
      </c>
      <c r="G837" s="7">
        <v>1</v>
      </c>
      <c r="H837" s="7">
        <v>1</v>
      </c>
      <c r="I837" s="7">
        <v>1</v>
      </c>
      <c r="J837" s="7">
        <v>1</v>
      </c>
      <c r="P837" s="7">
        <v>1</v>
      </c>
    </row>
    <row r="838" spans="1:18" x14ac:dyDescent="0.55000000000000004">
      <c r="A838" s="7">
        <v>31</v>
      </c>
      <c r="B838" s="7">
        <v>1</v>
      </c>
      <c r="C838" s="7">
        <f>C837+1</f>
        <v>21</v>
      </c>
      <c r="D838" s="7">
        <v>9</v>
      </c>
      <c r="E838" s="7" t="s">
        <v>786</v>
      </c>
      <c r="G838" s="7">
        <v>1</v>
      </c>
      <c r="H838" s="7">
        <v>1</v>
      </c>
      <c r="I838" s="7">
        <v>1</v>
      </c>
      <c r="J838" s="7">
        <v>1</v>
      </c>
      <c r="P838" s="7">
        <v>1</v>
      </c>
    </row>
    <row r="839" spans="1:18" x14ac:dyDescent="0.55000000000000004">
      <c r="A839" s="7">
        <v>31</v>
      </c>
      <c r="B839" s="7">
        <v>1</v>
      </c>
      <c r="C839" s="7">
        <f t="shared" si="34"/>
        <v>22</v>
      </c>
      <c r="D839" s="7">
        <v>3</v>
      </c>
      <c r="E839" s="7" t="s">
        <v>787</v>
      </c>
    </row>
    <row r="840" spans="1:18" x14ac:dyDescent="0.55000000000000004">
      <c r="A840" s="7">
        <v>31</v>
      </c>
      <c r="B840" s="7">
        <v>1</v>
      </c>
      <c r="C840" s="7">
        <f t="shared" si="34"/>
        <v>23</v>
      </c>
      <c r="D840" s="7">
        <v>2.9</v>
      </c>
      <c r="E840" s="7" t="s">
        <v>787</v>
      </c>
    </row>
    <row r="841" spans="1:18" x14ac:dyDescent="0.55000000000000004">
      <c r="A841" s="7">
        <v>31</v>
      </c>
      <c r="B841" s="7">
        <v>1</v>
      </c>
      <c r="C841" s="7">
        <f t="shared" si="34"/>
        <v>24</v>
      </c>
      <c r="D841" s="7">
        <v>2.9</v>
      </c>
      <c r="E841" s="7" t="s">
        <v>787</v>
      </c>
      <c r="G841" s="7">
        <v>1</v>
      </c>
      <c r="I841" s="7">
        <v>1</v>
      </c>
      <c r="J841" s="7">
        <v>1</v>
      </c>
      <c r="P841" s="7">
        <v>1</v>
      </c>
      <c r="Q841" s="7">
        <v>1</v>
      </c>
      <c r="R841" s="7">
        <v>1</v>
      </c>
    </row>
    <row r="842" spans="1:18" x14ac:dyDescent="0.55000000000000004">
      <c r="A842" s="7">
        <v>32</v>
      </c>
      <c r="B842" s="7">
        <v>1</v>
      </c>
      <c r="C842" s="7">
        <v>1</v>
      </c>
      <c r="D842" s="7">
        <v>250.2</v>
      </c>
      <c r="E842" s="7" t="s">
        <v>788</v>
      </c>
      <c r="K842" s="7">
        <v>1</v>
      </c>
    </row>
    <row r="843" spans="1:18" x14ac:dyDescent="0.55000000000000004">
      <c r="A843" s="7">
        <v>32</v>
      </c>
      <c r="B843" s="7">
        <v>1</v>
      </c>
      <c r="C843" s="7">
        <f>C842+1</f>
        <v>2</v>
      </c>
      <c r="D843" s="7">
        <v>250.2</v>
      </c>
      <c r="E843" s="7" t="s">
        <v>788</v>
      </c>
      <c r="K843" s="7">
        <v>1</v>
      </c>
    </row>
    <row r="844" spans="1:18" x14ac:dyDescent="0.55000000000000004">
      <c r="A844" s="7">
        <v>32</v>
      </c>
      <c r="B844" s="7">
        <v>1</v>
      </c>
      <c r="C844" s="7">
        <f t="shared" ref="C844:C865" si="35">C843+1</f>
        <v>3</v>
      </c>
      <c r="D844" s="7">
        <v>250.2</v>
      </c>
      <c r="E844" s="7" t="s">
        <v>788</v>
      </c>
      <c r="K844" s="7">
        <v>1</v>
      </c>
    </row>
    <row r="845" spans="1:18" x14ac:dyDescent="0.55000000000000004">
      <c r="A845" s="7">
        <v>32</v>
      </c>
      <c r="B845" s="7">
        <v>1</v>
      </c>
      <c r="C845" s="7">
        <f t="shared" si="35"/>
        <v>4</v>
      </c>
      <c r="D845" s="7">
        <v>250.2</v>
      </c>
      <c r="E845" s="7" t="s">
        <v>788</v>
      </c>
      <c r="K845" s="7">
        <v>1</v>
      </c>
    </row>
    <row r="846" spans="1:18" x14ac:dyDescent="0.55000000000000004">
      <c r="A846" s="7">
        <v>32</v>
      </c>
      <c r="B846" s="7">
        <v>1</v>
      </c>
      <c r="C846" s="7">
        <f t="shared" si="35"/>
        <v>5</v>
      </c>
      <c r="D846" s="7">
        <v>250.2</v>
      </c>
      <c r="E846" s="7" t="s">
        <v>788</v>
      </c>
      <c r="K846" s="7">
        <v>1</v>
      </c>
    </row>
    <row r="847" spans="1:18" x14ac:dyDescent="0.55000000000000004">
      <c r="A847" s="7">
        <v>32</v>
      </c>
      <c r="B847" s="7">
        <v>1</v>
      </c>
      <c r="C847" s="7">
        <f t="shared" si="35"/>
        <v>6</v>
      </c>
      <c r="D847" s="7">
        <v>250.2</v>
      </c>
      <c r="E847" s="7" t="s">
        <v>788</v>
      </c>
      <c r="K847" s="7">
        <v>1</v>
      </c>
    </row>
    <row r="848" spans="1:18" x14ac:dyDescent="0.55000000000000004">
      <c r="A848" s="7">
        <v>32</v>
      </c>
      <c r="B848" s="7">
        <v>1</v>
      </c>
      <c r="C848" s="7">
        <f t="shared" si="35"/>
        <v>7</v>
      </c>
      <c r="D848" s="7">
        <v>99.9</v>
      </c>
      <c r="E848" s="7" t="s">
        <v>789</v>
      </c>
      <c r="K848" s="7">
        <v>1</v>
      </c>
    </row>
    <row r="849" spans="1:20" x14ac:dyDescent="0.55000000000000004">
      <c r="A849" s="7">
        <v>32</v>
      </c>
      <c r="B849" s="7">
        <v>1</v>
      </c>
      <c r="C849" s="7">
        <f t="shared" si="35"/>
        <v>8</v>
      </c>
      <c r="D849" s="7">
        <v>99.9</v>
      </c>
      <c r="E849" s="7" t="s">
        <v>789</v>
      </c>
      <c r="K849" s="7">
        <v>1</v>
      </c>
    </row>
    <row r="850" spans="1:20" x14ac:dyDescent="0.55000000000000004">
      <c r="A850" s="7">
        <v>32</v>
      </c>
      <c r="B850" s="7">
        <v>1</v>
      </c>
      <c r="C850" s="7">
        <f t="shared" si="35"/>
        <v>9</v>
      </c>
      <c r="D850" s="7">
        <v>99.9</v>
      </c>
      <c r="E850" s="7" t="s">
        <v>789</v>
      </c>
      <c r="K850" s="7">
        <v>1</v>
      </c>
    </row>
    <row r="851" spans="1:20" x14ac:dyDescent="0.55000000000000004">
      <c r="A851" s="7">
        <v>32</v>
      </c>
      <c r="B851" s="7">
        <v>1</v>
      </c>
      <c r="C851" s="7">
        <f t="shared" si="35"/>
        <v>10</v>
      </c>
      <c r="D851" s="7">
        <v>99.9</v>
      </c>
      <c r="E851" s="7" t="s">
        <v>789</v>
      </c>
      <c r="K851" s="7">
        <v>1</v>
      </c>
    </row>
    <row r="852" spans="1:20" x14ac:dyDescent="0.55000000000000004">
      <c r="A852" s="7">
        <v>32</v>
      </c>
      <c r="B852" s="7">
        <v>1</v>
      </c>
      <c r="C852" s="7">
        <f t="shared" si="35"/>
        <v>11</v>
      </c>
      <c r="D852" s="7">
        <v>99.9</v>
      </c>
      <c r="E852" s="7" t="s">
        <v>789</v>
      </c>
      <c r="T852" s="7" t="s">
        <v>792</v>
      </c>
    </row>
    <row r="853" spans="1:20" x14ac:dyDescent="0.55000000000000004">
      <c r="A853" s="7">
        <v>32</v>
      </c>
      <c r="B853" s="7">
        <v>1</v>
      </c>
      <c r="C853" s="7">
        <f t="shared" si="35"/>
        <v>12</v>
      </c>
      <c r="D853" s="7">
        <v>99.9</v>
      </c>
      <c r="E853" s="7" t="s">
        <v>789</v>
      </c>
      <c r="K853" s="7">
        <v>1</v>
      </c>
    </row>
    <row r="854" spans="1:20" x14ac:dyDescent="0.55000000000000004">
      <c r="A854" s="7">
        <v>32</v>
      </c>
      <c r="B854" s="7">
        <v>1</v>
      </c>
      <c r="C854" s="7">
        <f t="shared" si="35"/>
        <v>13</v>
      </c>
      <c r="D854" s="7">
        <v>40</v>
      </c>
      <c r="E854" s="7" t="s">
        <v>790</v>
      </c>
      <c r="K854" s="7">
        <v>1</v>
      </c>
    </row>
    <row r="855" spans="1:20" x14ac:dyDescent="0.55000000000000004">
      <c r="A855" s="7">
        <v>32</v>
      </c>
      <c r="B855" s="7">
        <v>1</v>
      </c>
      <c r="C855" s="7">
        <f t="shared" si="35"/>
        <v>14</v>
      </c>
      <c r="D855" s="7">
        <v>40</v>
      </c>
      <c r="E855" s="7" t="s">
        <v>790</v>
      </c>
      <c r="K855" s="7">
        <v>1</v>
      </c>
    </row>
    <row r="856" spans="1:20" x14ac:dyDescent="0.55000000000000004">
      <c r="A856" s="7">
        <v>32</v>
      </c>
      <c r="B856" s="7">
        <v>1</v>
      </c>
      <c r="C856" s="7">
        <f t="shared" si="35"/>
        <v>15</v>
      </c>
      <c r="D856" s="7">
        <v>40</v>
      </c>
      <c r="E856" s="7" t="s">
        <v>790</v>
      </c>
      <c r="K856" s="7">
        <v>1</v>
      </c>
    </row>
    <row r="857" spans="1:20" x14ac:dyDescent="0.55000000000000004">
      <c r="A857" s="7">
        <v>32</v>
      </c>
      <c r="B857" s="7">
        <v>1</v>
      </c>
      <c r="C857" s="7">
        <f t="shared" si="35"/>
        <v>16</v>
      </c>
      <c r="D857" s="7">
        <v>40</v>
      </c>
      <c r="E857" s="7" t="s">
        <v>790</v>
      </c>
      <c r="K857" s="7">
        <v>1</v>
      </c>
    </row>
    <row r="858" spans="1:20" x14ac:dyDescent="0.55000000000000004">
      <c r="A858" s="7">
        <v>32</v>
      </c>
      <c r="B858" s="7">
        <v>1</v>
      </c>
      <c r="C858" s="7">
        <f t="shared" si="35"/>
        <v>17</v>
      </c>
      <c r="D858" s="7">
        <v>40</v>
      </c>
      <c r="E858" s="7" t="s">
        <v>790</v>
      </c>
      <c r="K858" s="7">
        <v>1</v>
      </c>
    </row>
    <row r="859" spans="1:20" x14ac:dyDescent="0.55000000000000004">
      <c r="A859" s="7">
        <v>32</v>
      </c>
      <c r="B859" s="7">
        <v>1</v>
      </c>
      <c r="C859" s="7">
        <f t="shared" si="35"/>
        <v>18</v>
      </c>
      <c r="D859" s="7">
        <v>40</v>
      </c>
      <c r="E859" s="7" t="s">
        <v>790</v>
      </c>
      <c r="K859" s="7">
        <v>1</v>
      </c>
    </row>
    <row r="860" spans="1:20" x14ac:dyDescent="0.55000000000000004">
      <c r="A860" s="7">
        <v>32</v>
      </c>
      <c r="B860" s="7">
        <v>1</v>
      </c>
      <c r="C860" s="7">
        <f t="shared" si="35"/>
        <v>19</v>
      </c>
      <c r="D860" s="7">
        <v>20</v>
      </c>
      <c r="E860" s="7" t="s">
        <v>791</v>
      </c>
      <c r="K860" s="7">
        <v>1</v>
      </c>
    </row>
    <row r="861" spans="1:20" x14ac:dyDescent="0.55000000000000004">
      <c r="A861" s="7">
        <v>32</v>
      </c>
      <c r="B861" s="7">
        <v>1</v>
      </c>
      <c r="C861" s="7">
        <f t="shared" si="35"/>
        <v>20</v>
      </c>
      <c r="D861" s="7">
        <v>20</v>
      </c>
      <c r="E861" s="7" t="s">
        <v>791</v>
      </c>
      <c r="K861" s="7">
        <v>1</v>
      </c>
    </row>
    <row r="862" spans="1:20" x14ac:dyDescent="0.55000000000000004">
      <c r="A862" s="7">
        <v>32</v>
      </c>
      <c r="B862" s="7">
        <v>1</v>
      </c>
      <c r="C862" s="7">
        <f t="shared" si="35"/>
        <v>21</v>
      </c>
      <c r="D862" s="7">
        <v>20</v>
      </c>
      <c r="E862" s="7" t="s">
        <v>791</v>
      </c>
      <c r="K862" s="7">
        <v>1</v>
      </c>
    </row>
    <row r="863" spans="1:20" x14ac:dyDescent="0.55000000000000004">
      <c r="A863" s="7">
        <v>32</v>
      </c>
      <c r="B863" s="7">
        <v>1</v>
      </c>
      <c r="C863" s="7">
        <f>C862+1</f>
        <v>22</v>
      </c>
      <c r="D863" s="7">
        <v>20</v>
      </c>
      <c r="E863" s="7" t="s">
        <v>791</v>
      </c>
      <c r="K863" s="7">
        <v>1</v>
      </c>
    </row>
    <row r="864" spans="1:20" x14ac:dyDescent="0.55000000000000004">
      <c r="A864" s="7">
        <v>32</v>
      </c>
      <c r="B864" s="7">
        <v>1</v>
      </c>
      <c r="C864" s="7">
        <f t="shared" si="35"/>
        <v>23</v>
      </c>
      <c r="D864" s="7">
        <v>20</v>
      </c>
      <c r="E864" s="7" t="s">
        <v>791</v>
      </c>
      <c r="K864" s="7">
        <v>1</v>
      </c>
    </row>
    <row r="865" spans="1:17" x14ac:dyDescent="0.55000000000000004">
      <c r="A865" s="7">
        <v>32</v>
      </c>
      <c r="B865" s="7">
        <v>1</v>
      </c>
      <c r="C865" s="7">
        <f t="shared" si="35"/>
        <v>24</v>
      </c>
      <c r="D865" s="7">
        <v>20</v>
      </c>
      <c r="E865" s="7" t="s">
        <v>791</v>
      </c>
      <c r="K865" s="7">
        <v>1</v>
      </c>
    </row>
    <row r="866" spans="1:17" x14ac:dyDescent="0.55000000000000004">
      <c r="A866" s="7">
        <v>32</v>
      </c>
      <c r="B866" s="7">
        <v>2</v>
      </c>
      <c r="C866" s="7">
        <v>1</v>
      </c>
      <c r="D866" s="7">
        <v>1355.2</v>
      </c>
      <c r="E866" s="7" t="s">
        <v>793</v>
      </c>
      <c r="G866" s="7">
        <v>1</v>
      </c>
      <c r="H866" s="7">
        <v>1</v>
      </c>
      <c r="I866" s="7">
        <v>1</v>
      </c>
      <c r="P866" s="7">
        <v>1</v>
      </c>
      <c r="Q866" s="7">
        <v>1</v>
      </c>
    </row>
    <row r="867" spans="1:17" x14ac:dyDescent="0.55000000000000004">
      <c r="A867" s="7">
        <v>32</v>
      </c>
      <c r="B867" s="7">
        <v>2</v>
      </c>
      <c r="C867" s="7">
        <v>2</v>
      </c>
      <c r="D867" s="7">
        <v>1000.5</v>
      </c>
      <c r="E867" s="7" t="s">
        <v>794</v>
      </c>
      <c r="F867" s="7">
        <v>1</v>
      </c>
      <c r="G867" s="7">
        <v>1</v>
      </c>
      <c r="H867" s="7">
        <v>1</v>
      </c>
      <c r="I867" s="7">
        <v>1</v>
      </c>
      <c r="L867" s="7">
        <v>1</v>
      </c>
      <c r="M867" s="7">
        <v>1</v>
      </c>
      <c r="N867" s="7">
        <v>1</v>
      </c>
      <c r="O867" s="7">
        <v>1</v>
      </c>
      <c r="P867" s="7">
        <v>1</v>
      </c>
      <c r="Q867" s="7">
        <v>1</v>
      </c>
    </row>
    <row r="868" spans="1:17" x14ac:dyDescent="0.55000000000000004">
      <c r="A868" s="7">
        <v>32</v>
      </c>
      <c r="B868" s="7">
        <v>2</v>
      </c>
      <c r="C868" s="7">
        <v>3</v>
      </c>
      <c r="D868" s="7">
        <v>750</v>
      </c>
      <c r="E868" s="7" t="s">
        <v>795</v>
      </c>
      <c r="G868" s="7">
        <v>1</v>
      </c>
      <c r="I868" s="7">
        <v>1</v>
      </c>
      <c r="P868" s="7">
        <v>1</v>
      </c>
    </row>
    <row r="869" spans="1:17" x14ac:dyDescent="0.55000000000000004">
      <c r="A869" s="7">
        <v>32</v>
      </c>
      <c r="B869" s="7">
        <v>2</v>
      </c>
      <c r="C869" s="7">
        <v>4</v>
      </c>
      <c r="D869" s="7">
        <v>499.9</v>
      </c>
      <c r="E869" s="7" t="s">
        <v>796</v>
      </c>
      <c r="F869" s="7">
        <v>1</v>
      </c>
      <c r="G869" s="7">
        <v>1</v>
      </c>
      <c r="H869" s="7">
        <v>1</v>
      </c>
      <c r="I869" s="7">
        <v>1</v>
      </c>
      <c r="O869" s="7">
        <v>1</v>
      </c>
      <c r="P869" s="7">
        <v>1</v>
      </c>
      <c r="Q869" s="7">
        <v>1</v>
      </c>
    </row>
    <row r="870" spans="1:17" x14ac:dyDescent="0.55000000000000004">
      <c r="A870" s="7">
        <v>32</v>
      </c>
      <c r="B870" s="7">
        <v>2</v>
      </c>
      <c r="C870" s="7">
        <v>5</v>
      </c>
      <c r="D870" s="7">
        <v>300</v>
      </c>
      <c r="E870" s="7" t="s">
        <v>797</v>
      </c>
      <c r="G870" s="7">
        <v>1</v>
      </c>
      <c r="H870" s="7">
        <v>1</v>
      </c>
      <c r="I870" s="7">
        <v>1</v>
      </c>
      <c r="P870" s="7">
        <v>1</v>
      </c>
      <c r="Q870" s="7">
        <v>1</v>
      </c>
    </row>
    <row r="871" spans="1:17" x14ac:dyDescent="0.55000000000000004">
      <c r="A871" s="7">
        <v>32</v>
      </c>
      <c r="B871" s="7">
        <v>2</v>
      </c>
      <c r="C871" s="7">
        <v>6</v>
      </c>
      <c r="D871" s="7">
        <v>250</v>
      </c>
      <c r="E871" s="7" t="s">
        <v>798</v>
      </c>
      <c r="G871" s="7">
        <v>1</v>
      </c>
      <c r="I871" s="7">
        <v>1</v>
      </c>
      <c r="M871" s="7">
        <v>1</v>
      </c>
      <c r="N871" s="7">
        <v>1</v>
      </c>
      <c r="O871" s="7">
        <v>1</v>
      </c>
      <c r="P871" s="7">
        <v>1</v>
      </c>
      <c r="Q871" s="7">
        <v>1</v>
      </c>
    </row>
    <row r="872" spans="1:17" x14ac:dyDescent="0.55000000000000004">
      <c r="A872" s="7">
        <v>32</v>
      </c>
      <c r="B872" s="7">
        <v>2</v>
      </c>
      <c r="C872" s="7">
        <v>7</v>
      </c>
      <c r="D872" s="7">
        <v>200</v>
      </c>
      <c r="E872" s="7" t="s">
        <v>799</v>
      </c>
      <c r="F872" s="7">
        <v>1</v>
      </c>
      <c r="G872" s="7">
        <v>1</v>
      </c>
      <c r="H872" s="7">
        <v>1</v>
      </c>
      <c r="I872" s="7">
        <v>1</v>
      </c>
      <c r="P872" s="7">
        <v>1</v>
      </c>
      <c r="Q872" s="7">
        <v>1</v>
      </c>
    </row>
    <row r="873" spans="1:17" x14ac:dyDescent="0.55000000000000004">
      <c r="A873" s="7">
        <v>32</v>
      </c>
      <c r="B873" s="7">
        <v>2</v>
      </c>
      <c r="C873" s="7">
        <v>8</v>
      </c>
      <c r="D873" s="7">
        <v>175.3</v>
      </c>
      <c r="E873" s="7" t="s">
        <v>800</v>
      </c>
      <c r="G873" s="7">
        <v>1</v>
      </c>
      <c r="I873" s="7">
        <v>1</v>
      </c>
      <c r="P873" s="7">
        <v>1</v>
      </c>
    </row>
    <row r="874" spans="1:17" x14ac:dyDescent="0.55000000000000004">
      <c r="A874" s="7">
        <v>32</v>
      </c>
      <c r="B874" s="7">
        <v>2</v>
      </c>
      <c r="C874" s="7">
        <v>9</v>
      </c>
      <c r="D874" s="7">
        <v>150</v>
      </c>
      <c r="E874" s="7" t="s">
        <v>801</v>
      </c>
      <c r="G874" s="7">
        <v>1</v>
      </c>
      <c r="H874" s="7">
        <v>1</v>
      </c>
      <c r="I874" s="7">
        <v>1</v>
      </c>
      <c r="O874" s="7">
        <v>1</v>
      </c>
      <c r="P874" s="7">
        <v>1</v>
      </c>
      <c r="Q874" s="7">
        <v>1</v>
      </c>
    </row>
    <row r="875" spans="1:17" x14ac:dyDescent="0.55000000000000004">
      <c r="A875" s="7">
        <v>32</v>
      </c>
      <c r="B875" s="7">
        <v>2</v>
      </c>
      <c r="C875" s="7">
        <v>10</v>
      </c>
      <c r="D875" s="7">
        <v>129.5</v>
      </c>
      <c r="E875" s="7" t="s">
        <v>802</v>
      </c>
      <c r="G875" s="7">
        <v>1</v>
      </c>
      <c r="H875" s="7">
        <v>1</v>
      </c>
      <c r="I875" s="7">
        <v>1</v>
      </c>
      <c r="P875" s="7">
        <v>1</v>
      </c>
    </row>
    <row r="876" spans="1:17" x14ac:dyDescent="0.55000000000000004">
      <c r="A876" s="7">
        <v>32</v>
      </c>
      <c r="B876" s="7">
        <v>2</v>
      </c>
      <c r="C876" s="7">
        <v>11</v>
      </c>
      <c r="D876" s="7">
        <v>115.2</v>
      </c>
      <c r="E876" s="7" t="s">
        <v>803</v>
      </c>
      <c r="G876" s="7">
        <v>1</v>
      </c>
      <c r="H876" s="7">
        <v>1</v>
      </c>
      <c r="I876" s="7">
        <v>1</v>
      </c>
      <c r="P876" s="7">
        <v>1</v>
      </c>
    </row>
    <row r="877" spans="1:17" x14ac:dyDescent="0.55000000000000004">
      <c r="A877" s="7">
        <v>32</v>
      </c>
      <c r="B877" s="7">
        <v>2</v>
      </c>
      <c r="C877" s="7">
        <v>12</v>
      </c>
      <c r="D877" s="7">
        <v>99.5</v>
      </c>
      <c r="E877" s="7" t="s">
        <v>804</v>
      </c>
      <c r="G877" s="7">
        <v>1</v>
      </c>
      <c r="I877" s="7">
        <v>1</v>
      </c>
      <c r="M877" s="7">
        <v>1</v>
      </c>
      <c r="N877" s="7">
        <v>1</v>
      </c>
      <c r="O877" s="7">
        <v>1</v>
      </c>
      <c r="P877" s="7">
        <v>1</v>
      </c>
      <c r="Q877" s="7">
        <v>1</v>
      </c>
    </row>
    <row r="878" spans="1:17" x14ac:dyDescent="0.55000000000000004">
      <c r="A878" s="7">
        <v>32</v>
      </c>
      <c r="B878" s="7">
        <v>2</v>
      </c>
      <c r="C878" s="7">
        <v>13</v>
      </c>
      <c r="D878" s="7">
        <v>85.1</v>
      </c>
      <c r="E878" s="7" t="s">
        <v>805</v>
      </c>
      <c r="G878" s="7">
        <v>1</v>
      </c>
      <c r="H878" s="7">
        <v>1</v>
      </c>
      <c r="I878" s="7">
        <v>1</v>
      </c>
      <c r="P878" s="7">
        <v>1</v>
      </c>
    </row>
    <row r="879" spans="1:17" x14ac:dyDescent="0.55000000000000004">
      <c r="A879" s="7">
        <v>32</v>
      </c>
      <c r="B879" s="7">
        <v>2</v>
      </c>
      <c r="C879" s="7">
        <v>14</v>
      </c>
      <c r="D879" s="7">
        <v>70</v>
      </c>
      <c r="E879" s="7" t="s">
        <v>806</v>
      </c>
      <c r="G879" s="7">
        <v>1</v>
      </c>
      <c r="H879" s="7">
        <v>1</v>
      </c>
      <c r="I879" s="7">
        <v>1</v>
      </c>
      <c r="O879" s="7">
        <v>1</v>
      </c>
      <c r="P879" s="7">
        <v>1</v>
      </c>
    </row>
    <row r="880" spans="1:17" x14ac:dyDescent="0.55000000000000004">
      <c r="A880" s="7">
        <v>32</v>
      </c>
      <c r="B880" s="7">
        <v>2</v>
      </c>
      <c r="C880" s="7">
        <v>15</v>
      </c>
      <c r="D880" s="7">
        <v>55</v>
      </c>
      <c r="E880" s="7" t="s">
        <v>807</v>
      </c>
      <c r="G880" s="7">
        <v>1</v>
      </c>
      <c r="H880" s="7">
        <v>1</v>
      </c>
      <c r="I880" s="7">
        <v>1</v>
      </c>
      <c r="J880" s="7">
        <v>1</v>
      </c>
      <c r="O880" s="7">
        <v>1</v>
      </c>
      <c r="P880" s="7">
        <v>1</v>
      </c>
    </row>
    <row r="881" spans="1:19" x14ac:dyDescent="0.55000000000000004">
      <c r="A881" s="7">
        <v>32</v>
      </c>
      <c r="B881" s="7">
        <v>2</v>
      </c>
      <c r="C881" s="7">
        <v>16</v>
      </c>
      <c r="D881" s="7">
        <v>40.299999999999997</v>
      </c>
      <c r="E881" s="7" t="s">
        <v>808</v>
      </c>
      <c r="G881" s="7">
        <v>1</v>
      </c>
      <c r="I881" s="7">
        <v>1</v>
      </c>
      <c r="J881" s="7">
        <v>1</v>
      </c>
      <c r="M881" s="7">
        <v>1</v>
      </c>
      <c r="N881" s="7">
        <v>1</v>
      </c>
      <c r="P881" s="7">
        <v>1</v>
      </c>
    </row>
    <row r="882" spans="1:19" x14ac:dyDescent="0.55000000000000004">
      <c r="A882" s="7">
        <v>32</v>
      </c>
      <c r="B882" s="7">
        <v>2</v>
      </c>
      <c r="C882" s="7">
        <v>17</v>
      </c>
      <c r="D882" s="7">
        <v>40.299999999999997</v>
      </c>
      <c r="E882" s="7" t="s">
        <v>808</v>
      </c>
      <c r="S882" s="7">
        <v>1</v>
      </c>
    </row>
    <row r="883" spans="1:19" x14ac:dyDescent="0.55000000000000004">
      <c r="A883" s="7">
        <v>32</v>
      </c>
      <c r="B883" s="7">
        <v>2</v>
      </c>
      <c r="C883" s="7">
        <v>18</v>
      </c>
      <c r="D883" s="7">
        <v>40.299999999999997</v>
      </c>
      <c r="E883" s="7" t="s">
        <v>808</v>
      </c>
    </row>
    <row r="884" spans="1:19" x14ac:dyDescent="0.55000000000000004">
      <c r="A884" s="7">
        <v>32</v>
      </c>
      <c r="B884" s="7">
        <v>2</v>
      </c>
      <c r="C884" s="7">
        <v>19</v>
      </c>
      <c r="D884" s="7">
        <v>29.8</v>
      </c>
      <c r="E884" s="7" t="s">
        <v>809</v>
      </c>
      <c r="F884" s="7">
        <v>1</v>
      </c>
      <c r="G884" s="7">
        <v>1</v>
      </c>
      <c r="H884" s="7">
        <v>1</v>
      </c>
      <c r="I884" s="7">
        <v>1</v>
      </c>
      <c r="J884" s="7">
        <v>1</v>
      </c>
      <c r="O884" s="7">
        <v>1</v>
      </c>
      <c r="P884" s="7">
        <v>1</v>
      </c>
    </row>
    <row r="885" spans="1:19" x14ac:dyDescent="0.55000000000000004">
      <c r="A885" s="7">
        <v>32</v>
      </c>
      <c r="B885" s="7">
        <v>2</v>
      </c>
      <c r="C885" s="7">
        <v>20</v>
      </c>
      <c r="D885" s="7">
        <v>20</v>
      </c>
      <c r="E885" s="7" t="s">
        <v>810</v>
      </c>
      <c r="G885" s="7">
        <v>1</v>
      </c>
      <c r="I885" s="7">
        <v>1</v>
      </c>
      <c r="J885" s="7">
        <v>1</v>
      </c>
      <c r="M885" s="7">
        <v>1</v>
      </c>
      <c r="N885" s="7">
        <v>1</v>
      </c>
      <c r="P885" s="7">
        <v>1</v>
      </c>
      <c r="Q885" s="7">
        <v>1</v>
      </c>
    </row>
    <row r="886" spans="1:19" x14ac:dyDescent="0.55000000000000004">
      <c r="A886" s="7">
        <v>32</v>
      </c>
      <c r="B886" s="7">
        <v>2</v>
      </c>
      <c r="C886" s="7">
        <v>21</v>
      </c>
      <c r="D886" s="7">
        <v>10.1</v>
      </c>
      <c r="E886" s="7" t="s">
        <v>811</v>
      </c>
      <c r="G886" s="7">
        <v>1</v>
      </c>
      <c r="H886" s="7">
        <v>1</v>
      </c>
      <c r="I886" s="7">
        <v>1</v>
      </c>
      <c r="J886" s="7">
        <v>1</v>
      </c>
      <c r="O886" s="7">
        <v>1</v>
      </c>
      <c r="P886" s="7">
        <v>1</v>
      </c>
    </row>
    <row r="887" spans="1:19" x14ac:dyDescent="0.55000000000000004">
      <c r="A887" s="7">
        <v>32</v>
      </c>
      <c r="B887" s="7">
        <v>2</v>
      </c>
      <c r="C887" s="7">
        <v>22</v>
      </c>
      <c r="D887" s="7">
        <v>3.2</v>
      </c>
      <c r="E887" s="7" t="s">
        <v>812</v>
      </c>
      <c r="S887" s="7">
        <v>1</v>
      </c>
    </row>
    <row r="888" spans="1:19" x14ac:dyDescent="0.55000000000000004">
      <c r="A888" s="7">
        <v>32</v>
      </c>
      <c r="B888" s="7">
        <v>2</v>
      </c>
      <c r="C888" s="7">
        <v>23</v>
      </c>
      <c r="D888" s="7">
        <v>3.2</v>
      </c>
      <c r="E888" s="7" t="s">
        <v>812</v>
      </c>
    </row>
    <row r="889" spans="1:19" x14ac:dyDescent="0.55000000000000004">
      <c r="A889" s="7">
        <v>32</v>
      </c>
      <c r="B889" s="7">
        <v>2</v>
      </c>
      <c r="C889" s="7">
        <v>24</v>
      </c>
      <c r="D889" s="7">
        <v>3.2</v>
      </c>
      <c r="E889" s="7" t="s">
        <v>812</v>
      </c>
      <c r="F889" s="7">
        <v>1</v>
      </c>
      <c r="G889" s="7">
        <v>1</v>
      </c>
      <c r="I889" s="7">
        <v>1</v>
      </c>
      <c r="J889" s="7">
        <v>1</v>
      </c>
      <c r="M889" s="7">
        <v>1</v>
      </c>
      <c r="N889" s="7">
        <v>1</v>
      </c>
      <c r="O889" s="7">
        <v>1</v>
      </c>
      <c r="P889" s="7">
        <v>1</v>
      </c>
      <c r="Q889" s="7">
        <v>1</v>
      </c>
      <c r="R889" s="7">
        <v>1</v>
      </c>
    </row>
    <row r="890" spans="1:19" x14ac:dyDescent="0.55000000000000004">
      <c r="A890" s="7">
        <v>33</v>
      </c>
      <c r="B890" s="7">
        <v>1</v>
      </c>
      <c r="C890" s="7">
        <v>1</v>
      </c>
      <c r="D890" s="7">
        <v>1200</v>
      </c>
      <c r="E890" s="7" t="s">
        <v>644</v>
      </c>
      <c r="G890" s="7">
        <v>1</v>
      </c>
      <c r="I890" s="7">
        <v>1</v>
      </c>
      <c r="J890" s="7">
        <v>1</v>
      </c>
    </row>
    <row r="891" spans="1:19" x14ac:dyDescent="0.55000000000000004">
      <c r="A891" s="7">
        <v>33</v>
      </c>
      <c r="B891" s="7">
        <v>1</v>
      </c>
      <c r="C891" s="7">
        <f>C890+1</f>
        <v>2</v>
      </c>
      <c r="D891" s="7">
        <v>1200</v>
      </c>
      <c r="E891" s="7" t="s">
        <v>644</v>
      </c>
    </row>
    <row r="892" spans="1:19" x14ac:dyDescent="0.55000000000000004">
      <c r="A892" s="7">
        <v>33</v>
      </c>
      <c r="B892" s="7">
        <v>1</v>
      </c>
      <c r="C892" s="7">
        <f t="shared" ref="C892:C913" si="36">C891+1</f>
        <v>3</v>
      </c>
      <c r="D892" s="7">
        <v>999</v>
      </c>
      <c r="E892" s="7" t="s">
        <v>643</v>
      </c>
      <c r="G892" s="7">
        <v>1</v>
      </c>
      <c r="I892" s="7">
        <v>1</v>
      </c>
      <c r="P892" s="7">
        <v>1</v>
      </c>
    </row>
    <row r="893" spans="1:19" x14ac:dyDescent="0.55000000000000004">
      <c r="A893" s="7">
        <v>33</v>
      </c>
      <c r="B893" s="7">
        <v>1</v>
      </c>
      <c r="C893" s="7">
        <f t="shared" si="36"/>
        <v>4</v>
      </c>
      <c r="D893" s="7">
        <v>750</v>
      </c>
      <c r="E893" s="7" t="s">
        <v>642</v>
      </c>
      <c r="G893" s="7">
        <v>1</v>
      </c>
      <c r="H893" s="7">
        <v>1</v>
      </c>
      <c r="I893" s="7">
        <v>1</v>
      </c>
      <c r="P893" s="7">
        <v>1</v>
      </c>
    </row>
    <row r="894" spans="1:19" x14ac:dyDescent="0.55000000000000004">
      <c r="A894" s="7">
        <v>33</v>
      </c>
      <c r="B894" s="7">
        <v>1</v>
      </c>
      <c r="C894" s="7">
        <f t="shared" si="36"/>
        <v>5</v>
      </c>
      <c r="D894" s="7">
        <v>500</v>
      </c>
      <c r="E894" s="7" t="s">
        <v>641</v>
      </c>
      <c r="G894" s="7">
        <v>1</v>
      </c>
      <c r="H894" s="7">
        <v>1</v>
      </c>
      <c r="I894" s="7">
        <v>1</v>
      </c>
      <c r="P894" s="7">
        <v>1</v>
      </c>
    </row>
    <row r="895" spans="1:19" x14ac:dyDescent="0.55000000000000004">
      <c r="A895" s="7">
        <v>33</v>
      </c>
      <c r="B895" s="7">
        <v>1</v>
      </c>
      <c r="C895" s="7">
        <f t="shared" si="36"/>
        <v>6</v>
      </c>
      <c r="D895" s="7">
        <v>300</v>
      </c>
      <c r="E895" s="7" t="s">
        <v>640</v>
      </c>
      <c r="G895" s="7">
        <v>1</v>
      </c>
      <c r="H895" s="7">
        <v>1</v>
      </c>
      <c r="I895" s="7">
        <v>1</v>
      </c>
      <c r="P895" s="7">
        <v>1</v>
      </c>
    </row>
    <row r="896" spans="1:19" x14ac:dyDescent="0.55000000000000004">
      <c r="A896" s="7">
        <v>33</v>
      </c>
      <c r="B896" s="7">
        <v>1</v>
      </c>
      <c r="C896" s="7">
        <f t="shared" si="36"/>
        <v>7</v>
      </c>
      <c r="D896" s="7">
        <v>250</v>
      </c>
      <c r="E896" s="7" t="s">
        <v>639</v>
      </c>
      <c r="G896" s="7">
        <v>1</v>
      </c>
      <c r="H896" s="7">
        <v>1</v>
      </c>
      <c r="I896" s="7">
        <v>1</v>
      </c>
      <c r="P896" s="7">
        <v>1</v>
      </c>
    </row>
    <row r="897" spans="1:16" x14ac:dyDescent="0.55000000000000004">
      <c r="A897" s="7">
        <v>33</v>
      </c>
      <c r="B897" s="7">
        <v>1</v>
      </c>
      <c r="C897" s="7">
        <f t="shared" si="36"/>
        <v>8</v>
      </c>
      <c r="D897" s="7">
        <v>200</v>
      </c>
      <c r="E897" s="7" t="s">
        <v>638</v>
      </c>
      <c r="G897" s="7">
        <v>1</v>
      </c>
      <c r="I897" s="7">
        <v>1</v>
      </c>
    </row>
    <row r="898" spans="1:16" x14ac:dyDescent="0.55000000000000004">
      <c r="A898" s="7">
        <v>33</v>
      </c>
      <c r="B898" s="7">
        <v>1</v>
      </c>
      <c r="C898" s="7">
        <f t="shared" si="36"/>
        <v>9</v>
      </c>
      <c r="D898" s="7">
        <v>175</v>
      </c>
      <c r="E898" s="7" t="s">
        <v>637</v>
      </c>
      <c r="G898" s="7">
        <v>1</v>
      </c>
      <c r="H898" s="7">
        <v>1</v>
      </c>
      <c r="I898" s="7">
        <v>1</v>
      </c>
      <c r="P898" s="7">
        <v>1</v>
      </c>
    </row>
    <row r="899" spans="1:16" x14ac:dyDescent="0.55000000000000004">
      <c r="A899" s="7">
        <v>33</v>
      </c>
      <c r="B899" s="7">
        <v>1</v>
      </c>
      <c r="C899" s="7">
        <f t="shared" si="36"/>
        <v>10</v>
      </c>
      <c r="D899" s="7">
        <v>150</v>
      </c>
      <c r="E899" s="7" t="s">
        <v>636</v>
      </c>
      <c r="G899" s="7">
        <v>1</v>
      </c>
      <c r="I899" s="7">
        <v>1</v>
      </c>
    </row>
    <row r="900" spans="1:16" x14ac:dyDescent="0.55000000000000004">
      <c r="A900" s="7">
        <v>33</v>
      </c>
      <c r="B900" s="7">
        <v>1</v>
      </c>
      <c r="C900" s="7">
        <f t="shared" si="36"/>
        <v>11</v>
      </c>
      <c r="D900" s="7">
        <v>130</v>
      </c>
      <c r="E900" s="7" t="s">
        <v>635</v>
      </c>
      <c r="G900" s="7">
        <v>1</v>
      </c>
      <c r="H900" s="7">
        <v>1</v>
      </c>
      <c r="I900" s="7">
        <v>1</v>
      </c>
      <c r="P900" s="7">
        <v>1</v>
      </c>
    </row>
    <row r="901" spans="1:16" x14ac:dyDescent="0.55000000000000004">
      <c r="A901" s="7">
        <v>33</v>
      </c>
      <c r="B901" s="7">
        <v>1</v>
      </c>
      <c r="C901" s="7">
        <f t="shared" si="36"/>
        <v>12</v>
      </c>
      <c r="D901" s="7">
        <v>115</v>
      </c>
      <c r="E901" s="7" t="s">
        <v>634</v>
      </c>
      <c r="G901" s="7">
        <v>1</v>
      </c>
      <c r="I901" s="7">
        <v>1</v>
      </c>
    </row>
    <row r="902" spans="1:16" x14ac:dyDescent="0.55000000000000004">
      <c r="A902" s="7">
        <v>33</v>
      </c>
      <c r="B902" s="7">
        <v>1</v>
      </c>
      <c r="C902" s="7">
        <f t="shared" si="36"/>
        <v>13</v>
      </c>
      <c r="D902" s="7">
        <v>99</v>
      </c>
      <c r="E902" s="7" t="s">
        <v>633</v>
      </c>
      <c r="G902" s="7">
        <v>1</v>
      </c>
      <c r="H902" s="7">
        <v>1</v>
      </c>
      <c r="I902" s="7">
        <v>1</v>
      </c>
      <c r="P902" s="7">
        <v>1</v>
      </c>
    </row>
    <row r="903" spans="1:16" x14ac:dyDescent="0.55000000000000004">
      <c r="A903" s="7">
        <v>33</v>
      </c>
      <c r="B903" s="7">
        <v>1</v>
      </c>
      <c r="C903" s="7">
        <f t="shared" si="36"/>
        <v>14</v>
      </c>
      <c r="D903" s="7">
        <v>84</v>
      </c>
      <c r="E903" s="7" t="s">
        <v>632</v>
      </c>
      <c r="G903" s="7">
        <v>1</v>
      </c>
      <c r="I903" s="7">
        <v>1</v>
      </c>
    </row>
    <row r="904" spans="1:16" x14ac:dyDescent="0.55000000000000004">
      <c r="A904" s="7">
        <v>33</v>
      </c>
      <c r="B904" s="7">
        <v>1</v>
      </c>
      <c r="C904" s="7">
        <f t="shared" si="36"/>
        <v>15</v>
      </c>
      <c r="D904" s="7">
        <v>69</v>
      </c>
      <c r="E904" s="7" t="s">
        <v>631</v>
      </c>
      <c r="G904" s="7">
        <v>1</v>
      </c>
      <c r="H904" s="7">
        <v>1</v>
      </c>
      <c r="I904" s="7">
        <v>1</v>
      </c>
      <c r="P904" s="7">
        <v>1</v>
      </c>
    </row>
    <row r="905" spans="1:16" x14ac:dyDescent="0.55000000000000004">
      <c r="A905" s="7">
        <v>33</v>
      </c>
      <c r="B905" s="7">
        <v>1</v>
      </c>
      <c r="C905" s="7">
        <f t="shared" si="36"/>
        <v>16</v>
      </c>
      <c r="D905" s="7">
        <v>55</v>
      </c>
      <c r="E905" s="7" t="s">
        <v>630</v>
      </c>
      <c r="G905" s="7">
        <v>1</v>
      </c>
      <c r="H905" s="7">
        <v>1</v>
      </c>
      <c r="I905" s="7">
        <v>1</v>
      </c>
      <c r="J905" s="7">
        <v>1</v>
      </c>
      <c r="P905" s="7">
        <v>1</v>
      </c>
    </row>
    <row r="906" spans="1:16" x14ac:dyDescent="0.55000000000000004">
      <c r="A906" s="7">
        <v>33</v>
      </c>
      <c r="B906" s="7">
        <v>1</v>
      </c>
      <c r="C906" s="7">
        <f t="shared" si="36"/>
        <v>17</v>
      </c>
      <c r="D906" s="7">
        <v>39</v>
      </c>
      <c r="E906" s="7" t="s">
        <v>629</v>
      </c>
      <c r="G906" s="7">
        <v>1</v>
      </c>
      <c r="H906" s="7">
        <v>1</v>
      </c>
      <c r="I906" s="7">
        <v>1</v>
      </c>
      <c r="J906" s="7">
        <v>1</v>
      </c>
      <c r="P906" s="7">
        <v>1</v>
      </c>
    </row>
    <row r="907" spans="1:16" x14ac:dyDescent="0.55000000000000004">
      <c r="A907" s="7">
        <v>33</v>
      </c>
      <c r="B907" s="7">
        <v>1</v>
      </c>
      <c r="C907" s="7">
        <f t="shared" si="36"/>
        <v>18</v>
      </c>
      <c r="D907" s="7">
        <v>39</v>
      </c>
      <c r="E907" s="7" t="s">
        <v>629</v>
      </c>
    </row>
    <row r="908" spans="1:16" x14ac:dyDescent="0.55000000000000004">
      <c r="A908" s="7">
        <v>33</v>
      </c>
      <c r="B908" s="7">
        <v>1</v>
      </c>
      <c r="C908" s="7">
        <f t="shared" si="36"/>
        <v>19</v>
      </c>
      <c r="D908" s="7">
        <v>30</v>
      </c>
      <c r="E908" s="7" t="s">
        <v>628</v>
      </c>
      <c r="G908" s="7">
        <v>1</v>
      </c>
      <c r="H908" s="7">
        <v>1</v>
      </c>
      <c r="I908" s="7">
        <v>1</v>
      </c>
      <c r="J908" s="7">
        <v>1</v>
      </c>
      <c r="P908" s="7">
        <v>1</v>
      </c>
    </row>
    <row r="909" spans="1:16" x14ac:dyDescent="0.55000000000000004">
      <c r="A909" s="7">
        <v>33</v>
      </c>
      <c r="B909" s="7">
        <v>1</v>
      </c>
      <c r="C909" s="7">
        <f t="shared" si="36"/>
        <v>20</v>
      </c>
      <c r="D909" s="7">
        <v>19</v>
      </c>
      <c r="E909" s="7" t="s">
        <v>627</v>
      </c>
      <c r="G909" s="7">
        <v>1</v>
      </c>
      <c r="H909" s="7">
        <v>1</v>
      </c>
      <c r="I909" s="7">
        <v>1</v>
      </c>
      <c r="J909" s="7">
        <v>1</v>
      </c>
      <c r="P909" s="7">
        <v>1</v>
      </c>
    </row>
    <row r="910" spans="1:16" x14ac:dyDescent="0.55000000000000004">
      <c r="A910" s="7">
        <v>33</v>
      </c>
      <c r="B910" s="7">
        <v>1</v>
      </c>
      <c r="C910" s="7">
        <f t="shared" si="36"/>
        <v>21</v>
      </c>
      <c r="D910" s="7">
        <v>9.8000000000000007</v>
      </c>
      <c r="E910" s="7" t="s">
        <v>626</v>
      </c>
      <c r="G910" s="7">
        <v>1</v>
      </c>
      <c r="H910" s="7">
        <v>1</v>
      </c>
      <c r="I910" s="7">
        <v>1</v>
      </c>
      <c r="J910" s="7">
        <v>1</v>
      </c>
      <c r="P910" s="7">
        <v>1</v>
      </c>
    </row>
    <row r="911" spans="1:16" x14ac:dyDescent="0.55000000000000004">
      <c r="A911" s="7">
        <v>33</v>
      </c>
      <c r="B911" s="7">
        <v>1</v>
      </c>
      <c r="C911" s="7">
        <f t="shared" si="36"/>
        <v>22</v>
      </c>
      <c r="D911" s="7">
        <v>2.5</v>
      </c>
      <c r="E911" s="7" t="s">
        <v>625</v>
      </c>
    </row>
    <row r="912" spans="1:16" x14ac:dyDescent="0.55000000000000004">
      <c r="A912" s="7">
        <v>33</v>
      </c>
      <c r="B912" s="7">
        <v>1</v>
      </c>
      <c r="C912" s="7">
        <f>C911+1</f>
        <v>23</v>
      </c>
      <c r="D912" s="7">
        <v>2.4</v>
      </c>
      <c r="E912" s="7" t="s">
        <v>625</v>
      </c>
    </row>
    <row r="913" spans="1:18" x14ac:dyDescent="0.55000000000000004">
      <c r="A913" s="7">
        <v>33</v>
      </c>
      <c r="B913" s="7">
        <v>1</v>
      </c>
      <c r="C913" s="7">
        <f t="shared" si="36"/>
        <v>24</v>
      </c>
      <c r="D913" s="7">
        <v>2.5</v>
      </c>
      <c r="E913" s="7" t="s">
        <v>625</v>
      </c>
      <c r="G913" s="7">
        <v>1</v>
      </c>
      <c r="I913" s="7">
        <v>1</v>
      </c>
      <c r="J913" s="7">
        <v>1</v>
      </c>
      <c r="P913" s="7">
        <v>1</v>
      </c>
      <c r="Q913" s="7">
        <v>1</v>
      </c>
      <c r="R913" s="7">
        <v>1</v>
      </c>
    </row>
    <row r="914" spans="1:18" x14ac:dyDescent="0.55000000000000004">
      <c r="A914" s="7">
        <v>34</v>
      </c>
      <c r="B914" s="7">
        <v>1</v>
      </c>
      <c r="C914" s="7">
        <v>1</v>
      </c>
      <c r="D914" s="7">
        <v>2764.9</v>
      </c>
      <c r="E914" s="7" t="s">
        <v>1012</v>
      </c>
      <c r="G914" s="7">
        <v>1</v>
      </c>
      <c r="I914" s="7">
        <v>1</v>
      </c>
      <c r="Q914" s="7">
        <v>1</v>
      </c>
    </row>
    <row r="915" spans="1:18" x14ac:dyDescent="0.55000000000000004">
      <c r="A915" s="7">
        <v>34</v>
      </c>
      <c r="B915" s="7">
        <v>1</v>
      </c>
      <c r="C915" s="7">
        <f>C914+1</f>
        <v>2</v>
      </c>
      <c r="D915" s="7">
        <v>2499.9</v>
      </c>
      <c r="E915" s="7" t="s">
        <v>846</v>
      </c>
      <c r="G915" s="7">
        <v>1</v>
      </c>
      <c r="I915" s="7">
        <v>1</v>
      </c>
    </row>
    <row r="916" spans="1:18" x14ac:dyDescent="0.55000000000000004">
      <c r="A916" s="7">
        <v>34</v>
      </c>
      <c r="B916" s="7">
        <v>1</v>
      </c>
      <c r="C916" s="7">
        <f t="shared" ref="C916:C937" si="37">C915+1</f>
        <v>3</v>
      </c>
      <c r="D916" s="7">
        <v>1999.9</v>
      </c>
      <c r="E916" s="7" t="s">
        <v>845</v>
      </c>
      <c r="G916" s="7">
        <v>1</v>
      </c>
      <c r="I916" s="7">
        <v>1</v>
      </c>
      <c r="O916" s="7">
        <v>1</v>
      </c>
      <c r="P916" s="7">
        <v>1</v>
      </c>
    </row>
    <row r="917" spans="1:18" x14ac:dyDescent="0.55000000000000004">
      <c r="A917" s="7">
        <v>34</v>
      </c>
      <c r="B917" s="7">
        <v>1</v>
      </c>
      <c r="C917" s="7">
        <f t="shared" si="37"/>
        <v>4</v>
      </c>
      <c r="D917" s="7">
        <v>1500</v>
      </c>
      <c r="E917" s="7" t="s">
        <v>844</v>
      </c>
      <c r="G917" s="7">
        <v>1</v>
      </c>
      <c r="I917" s="7">
        <v>1</v>
      </c>
    </row>
    <row r="918" spans="1:18" x14ac:dyDescent="0.55000000000000004">
      <c r="A918" s="7">
        <v>34</v>
      </c>
      <c r="B918" s="7">
        <v>1</v>
      </c>
      <c r="C918" s="7">
        <f t="shared" si="37"/>
        <v>5</v>
      </c>
      <c r="D918" s="7">
        <v>1000</v>
      </c>
      <c r="E918" s="7" t="s">
        <v>843</v>
      </c>
      <c r="G918" s="7">
        <v>1</v>
      </c>
      <c r="I918" s="7">
        <v>1</v>
      </c>
      <c r="O918" s="7">
        <v>1</v>
      </c>
      <c r="P918" s="7">
        <v>1</v>
      </c>
      <c r="Q918" s="7">
        <v>1</v>
      </c>
    </row>
    <row r="919" spans="1:18" x14ac:dyDescent="0.55000000000000004">
      <c r="A919" s="7">
        <v>34</v>
      </c>
      <c r="B919" s="7">
        <v>1</v>
      </c>
      <c r="C919" s="7">
        <f t="shared" si="37"/>
        <v>6</v>
      </c>
      <c r="D919" s="7">
        <v>750</v>
      </c>
      <c r="E919" s="7" t="s">
        <v>842</v>
      </c>
      <c r="G919" s="7">
        <v>1</v>
      </c>
      <c r="I919" s="7">
        <v>1</v>
      </c>
      <c r="P919" s="7">
        <v>1</v>
      </c>
    </row>
    <row r="920" spans="1:18" x14ac:dyDescent="0.55000000000000004">
      <c r="A920" s="7">
        <v>34</v>
      </c>
      <c r="B920" s="7">
        <v>1</v>
      </c>
      <c r="C920" s="7">
        <f t="shared" si="37"/>
        <v>7</v>
      </c>
      <c r="D920" s="7">
        <v>500</v>
      </c>
      <c r="E920" s="7" t="s">
        <v>841</v>
      </c>
      <c r="G920" s="7">
        <v>1</v>
      </c>
      <c r="H920" s="7">
        <v>1</v>
      </c>
      <c r="I920" s="7">
        <v>1</v>
      </c>
      <c r="O920" s="7">
        <v>1</v>
      </c>
      <c r="P920" s="7">
        <v>1</v>
      </c>
      <c r="Q920" s="7">
        <v>1</v>
      </c>
    </row>
    <row r="921" spans="1:18" x14ac:dyDescent="0.55000000000000004">
      <c r="A921" s="7">
        <v>34</v>
      </c>
      <c r="B921" s="7">
        <v>1</v>
      </c>
      <c r="C921" s="7">
        <f t="shared" si="37"/>
        <v>8</v>
      </c>
      <c r="D921" s="7">
        <v>297.5</v>
      </c>
      <c r="E921" s="7" t="s">
        <v>840</v>
      </c>
      <c r="G921" s="7">
        <v>1</v>
      </c>
      <c r="H921" s="7">
        <v>1</v>
      </c>
      <c r="I921" s="7">
        <v>1</v>
      </c>
      <c r="Q921" s="7">
        <v>1</v>
      </c>
    </row>
    <row r="922" spans="1:18" x14ac:dyDescent="0.55000000000000004">
      <c r="A922" s="7">
        <v>34</v>
      </c>
      <c r="B922" s="7">
        <v>1</v>
      </c>
      <c r="C922" s="7">
        <f t="shared" si="37"/>
        <v>9</v>
      </c>
      <c r="D922" s="7">
        <v>250</v>
      </c>
      <c r="E922" s="7" t="s">
        <v>839</v>
      </c>
      <c r="G922" s="7">
        <v>1</v>
      </c>
      <c r="H922" s="7">
        <v>1</v>
      </c>
      <c r="I922" s="7">
        <v>1</v>
      </c>
      <c r="O922" s="7">
        <v>1</v>
      </c>
      <c r="P922" s="7">
        <v>1</v>
      </c>
      <c r="Q922" s="7">
        <v>1</v>
      </c>
    </row>
    <row r="923" spans="1:18" x14ac:dyDescent="0.55000000000000004">
      <c r="A923" s="7">
        <v>34</v>
      </c>
      <c r="B923" s="7">
        <v>1</v>
      </c>
      <c r="C923" s="7">
        <f t="shared" si="37"/>
        <v>10</v>
      </c>
      <c r="D923" s="7">
        <v>200</v>
      </c>
      <c r="E923" s="7" t="s">
        <v>838</v>
      </c>
      <c r="G923" s="7">
        <v>1</v>
      </c>
      <c r="H923" s="7">
        <v>1</v>
      </c>
      <c r="I923" s="7">
        <v>1</v>
      </c>
      <c r="P923" s="7">
        <v>1</v>
      </c>
      <c r="Q923" s="7">
        <v>1</v>
      </c>
    </row>
    <row r="924" spans="1:18" x14ac:dyDescent="0.55000000000000004">
      <c r="A924" s="7">
        <v>34</v>
      </c>
      <c r="B924" s="7">
        <v>1</v>
      </c>
      <c r="C924" s="7">
        <f t="shared" si="37"/>
        <v>11</v>
      </c>
      <c r="D924" s="7">
        <v>175</v>
      </c>
      <c r="E924" s="7" t="s">
        <v>837</v>
      </c>
      <c r="G924" s="7">
        <v>1</v>
      </c>
      <c r="I924" s="7">
        <v>1</v>
      </c>
    </row>
    <row r="925" spans="1:18" x14ac:dyDescent="0.55000000000000004">
      <c r="A925" s="7">
        <v>34</v>
      </c>
      <c r="B925" s="7">
        <v>1</v>
      </c>
      <c r="C925" s="7">
        <f t="shared" si="37"/>
        <v>12</v>
      </c>
      <c r="D925" s="7">
        <v>150</v>
      </c>
      <c r="E925" s="7" t="s">
        <v>836</v>
      </c>
      <c r="G925" s="7">
        <v>1</v>
      </c>
      <c r="H925" s="7">
        <v>1</v>
      </c>
      <c r="I925" s="7">
        <v>1</v>
      </c>
      <c r="O925" s="7">
        <v>1</v>
      </c>
      <c r="P925" s="7">
        <v>1</v>
      </c>
      <c r="Q925" s="7">
        <v>1</v>
      </c>
    </row>
    <row r="926" spans="1:18" x14ac:dyDescent="0.55000000000000004">
      <c r="A926" s="7">
        <v>34</v>
      </c>
      <c r="B926" s="7">
        <v>1</v>
      </c>
      <c r="C926" s="7">
        <f t="shared" si="37"/>
        <v>13</v>
      </c>
      <c r="D926" s="7">
        <v>130</v>
      </c>
      <c r="E926" s="7" t="s">
        <v>835</v>
      </c>
      <c r="G926" s="7">
        <v>1</v>
      </c>
      <c r="I926" s="7">
        <v>1</v>
      </c>
    </row>
    <row r="927" spans="1:18" x14ac:dyDescent="0.55000000000000004">
      <c r="A927" s="7">
        <v>34</v>
      </c>
      <c r="B927" s="7">
        <v>1</v>
      </c>
      <c r="C927" s="7">
        <f t="shared" si="37"/>
        <v>14</v>
      </c>
      <c r="D927" s="7">
        <v>115</v>
      </c>
      <c r="E927" s="7" t="s">
        <v>834</v>
      </c>
      <c r="G927" s="7">
        <v>1</v>
      </c>
      <c r="I927" s="7">
        <v>1</v>
      </c>
    </row>
    <row r="928" spans="1:18" x14ac:dyDescent="0.55000000000000004">
      <c r="A928" s="7">
        <v>34</v>
      </c>
      <c r="B928" s="7">
        <v>1</v>
      </c>
      <c r="C928" s="7">
        <f t="shared" si="37"/>
        <v>15</v>
      </c>
      <c r="D928" s="7">
        <v>99.8</v>
      </c>
      <c r="E928" s="7" t="s">
        <v>833</v>
      </c>
      <c r="G928" s="7">
        <v>1</v>
      </c>
      <c r="H928" s="7">
        <v>1</v>
      </c>
      <c r="I928" s="7">
        <v>1</v>
      </c>
      <c r="O928" s="7">
        <v>1</v>
      </c>
      <c r="P928" s="7">
        <v>1</v>
      </c>
      <c r="Q928" s="7">
        <v>1</v>
      </c>
    </row>
    <row r="929" spans="1:19" x14ac:dyDescent="0.55000000000000004">
      <c r="A929" s="7">
        <v>34</v>
      </c>
      <c r="B929" s="7">
        <v>1</v>
      </c>
      <c r="C929" s="7">
        <f t="shared" si="37"/>
        <v>16</v>
      </c>
      <c r="D929" s="7">
        <v>85.1</v>
      </c>
      <c r="E929" s="7" t="s">
        <v>832</v>
      </c>
      <c r="G929" s="7">
        <v>1</v>
      </c>
      <c r="I929" s="7">
        <v>1</v>
      </c>
    </row>
    <row r="930" spans="1:19" x14ac:dyDescent="0.55000000000000004">
      <c r="A930" s="7">
        <v>34</v>
      </c>
      <c r="B930" s="7">
        <v>1</v>
      </c>
      <c r="C930" s="7">
        <f t="shared" si="37"/>
        <v>17</v>
      </c>
      <c r="D930" s="7">
        <v>69.900000000000006</v>
      </c>
      <c r="E930" s="7" t="s">
        <v>831</v>
      </c>
      <c r="G930" s="7">
        <v>1</v>
      </c>
      <c r="H930" s="7">
        <v>1</v>
      </c>
      <c r="I930" s="7">
        <v>1</v>
      </c>
      <c r="P930" s="7">
        <v>1</v>
      </c>
    </row>
    <row r="931" spans="1:19" x14ac:dyDescent="0.55000000000000004">
      <c r="A931" s="7">
        <v>34</v>
      </c>
      <c r="B931" s="7">
        <v>1</v>
      </c>
      <c r="C931" s="7">
        <f t="shared" si="37"/>
        <v>18</v>
      </c>
      <c r="D931" s="7">
        <v>55</v>
      </c>
      <c r="E931" s="7" t="s">
        <v>830</v>
      </c>
      <c r="G931" s="7">
        <v>1</v>
      </c>
      <c r="H931" s="7">
        <v>1</v>
      </c>
      <c r="I931" s="7">
        <v>1</v>
      </c>
      <c r="J931" s="7">
        <v>1</v>
      </c>
      <c r="O931" s="7">
        <v>1</v>
      </c>
      <c r="P931" s="7">
        <v>1</v>
      </c>
    </row>
    <row r="932" spans="1:19" x14ac:dyDescent="0.55000000000000004">
      <c r="A932" s="7">
        <v>34</v>
      </c>
      <c r="B932" s="7">
        <v>1</v>
      </c>
      <c r="C932" s="7">
        <f t="shared" si="37"/>
        <v>19</v>
      </c>
      <c r="D932" s="7">
        <v>40</v>
      </c>
      <c r="E932" s="7" t="s">
        <v>829</v>
      </c>
      <c r="G932" s="7">
        <v>1</v>
      </c>
      <c r="H932" s="7">
        <v>1</v>
      </c>
      <c r="I932" s="7">
        <v>1</v>
      </c>
      <c r="J932" s="7">
        <v>1</v>
      </c>
      <c r="P932" s="7">
        <v>1</v>
      </c>
    </row>
    <row r="933" spans="1:19" x14ac:dyDescent="0.55000000000000004">
      <c r="A933" s="7">
        <v>34</v>
      </c>
      <c r="B933" s="7">
        <v>1</v>
      </c>
      <c r="C933" s="7">
        <f t="shared" si="37"/>
        <v>20</v>
      </c>
      <c r="D933" s="7">
        <v>30</v>
      </c>
      <c r="E933" s="7" t="s">
        <v>828</v>
      </c>
      <c r="G933" s="7">
        <v>1</v>
      </c>
      <c r="H933" s="7">
        <v>1</v>
      </c>
      <c r="I933" s="7">
        <v>1</v>
      </c>
      <c r="J933" s="7">
        <v>1</v>
      </c>
      <c r="P933" s="7">
        <v>1</v>
      </c>
    </row>
    <row r="934" spans="1:19" x14ac:dyDescent="0.55000000000000004">
      <c r="A934" s="7">
        <v>34</v>
      </c>
      <c r="B934" s="7">
        <v>1</v>
      </c>
      <c r="C934" s="7">
        <f t="shared" si="37"/>
        <v>21</v>
      </c>
      <c r="D934" s="7">
        <v>20</v>
      </c>
      <c r="E934" s="7" t="s">
        <v>827</v>
      </c>
      <c r="G934" s="7">
        <v>1</v>
      </c>
      <c r="H934" s="7">
        <v>1</v>
      </c>
      <c r="I934" s="7">
        <v>1</v>
      </c>
      <c r="J934" s="7">
        <v>1</v>
      </c>
      <c r="P934" s="7">
        <v>1</v>
      </c>
      <c r="Q934" s="7">
        <v>1</v>
      </c>
    </row>
    <row r="935" spans="1:19" x14ac:dyDescent="0.55000000000000004">
      <c r="A935" s="7">
        <v>34</v>
      </c>
      <c r="B935" s="7">
        <v>1</v>
      </c>
      <c r="C935" s="7">
        <f t="shared" si="37"/>
        <v>22</v>
      </c>
      <c r="D935" s="7">
        <v>10</v>
      </c>
      <c r="E935" s="7" t="s">
        <v>826</v>
      </c>
      <c r="G935" s="7">
        <v>1</v>
      </c>
      <c r="H935" s="7">
        <v>1</v>
      </c>
      <c r="I935" s="7">
        <v>1</v>
      </c>
      <c r="J935" s="7">
        <v>1</v>
      </c>
      <c r="O935" s="7">
        <v>1</v>
      </c>
      <c r="P935" s="7">
        <v>1</v>
      </c>
    </row>
    <row r="936" spans="1:19" x14ac:dyDescent="0.55000000000000004">
      <c r="A936" s="7">
        <v>34</v>
      </c>
      <c r="B936" s="7">
        <v>1</v>
      </c>
      <c r="C936" s="7">
        <f>C935+1</f>
        <v>23</v>
      </c>
      <c r="D936" s="7">
        <v>2.7</v>
      </c>
      <c r="E936" s="7" t="s">
        <v>825</v>
      </c>
      <c r="S936" s="7">
        <v>1</v>
      </c>
    </row>
    <row r="937" spans="1:19" x14ac:dyDescent="0.55000000000000004">
      <c r="A937" s="7">
        <v>34</v>
      </c>
      <c r="B937" s="7">
        <v>1</v>
      </c>
      <c r="C937" s="7">
        <f t="shared" si="37"/>
        <v>24</v>
      </c>
      <c r="D937" s="7">
        <v>2.7</v>
      </c>
      <c r="E937" s="7" t="s">
        <v>825</v>
      </c>
      <c r="F937" s="8"/>
      <c r="G937" s="7">
        <v>1</v>
      </c>
      <c r="I937" s="7">
        <v>1</v>
      </c>
      <c r="J937" s="7">
        <v>1</v>
      </c>
      <c r="O937" s="7">
        <v>1</v>
      </c>
      <c r="P937" s="7">
        <v>1</v>
      </c>
      <c r="Q937" s="7">
        <v>1</v>
      </c>
      <c r="R937" s="7">
        <v>1</v>
      </c>
    </row>
    <row r="938" spans="1:19" x14ac:dyDescent="0.55000000000000004">
      <c r="A938" s="7">
        <v>37</v>
      </c>
      <c r="B938" s="7">
        <v>1</v>
      </c>
      <c r="C938" s="7">
        <v>1</v>
      </c>
      <c r="D938" s="7">
        <v>250</v>
      </c>
      <c r="E938" s="7" t="s">
        <v>847</v>
      </c>
      <c r="G938" s="7">
        <v>1</v>
      </c>
      <c r="H938" s="7">
        <v>1</v>
      </c>
      <c r="I938" s="7">
        <v>1</v>
      </c>
    </row>
    <row r="939" spans="1:19" x14ac:dyDescent="0.55000000000000004">
      <c r="A939" s="7">
        <v>37</v>
      </c>
      <c r="B939" s="7">
        <v>1</v>
      </c>
      <c r="C939" s="7">
        <f>C938+1</f>
        <v>2</v>
      </c>
      <c r="D939" s="7">
        <v>250</v>
      </c>
      <c r="E939" s="7" t="s">
        <v>847</v>
      </c>
    </row>
    <row r="940" spans="1:19" x14ac:dyDescent="0.55000000000000004">
      <c r="A940" s="7">
        <v>37</v>
      </c>
      <c r="B940" s="7">
        <v>1</v>
      </c>
      <c r="C940" s="7">
        <f t="shared" ref="C940:C961" si="38">C939+1</f>
        <v>3</v>
      </c>
      <c r="D940" s="7">
        <v>250</v>
      </c>
      <c r="E940" s="7" t="s">
        <v>847</v>
      </c>
    </row>
    <row r="941" spans="1:19" x14ac:dyDescent="0.55000000000000004">
      <c r="A941" s="7">
        <v>37</v>
      </c>
      <c r="B941" s="7">
        <v>1</v>
      </c>
      <c r="C941" s="7">
        <f t="shared" si="38"/>
        <v>4</v>
      </c>
      <c r="D941" s="7">
        <v>250</v>
      </c>
      <c r="E941" s="7" t="s">
        <v>847</v>
      </c>
    </row>
    <row r="942" spans="1:19" x14ac:dyDescent="0.55000000000000004">
      <c r="A942" s="7">
        <v>37</v>
      </c>
      <c r="B942" s="7">
        <v>1</v>
      </c>
      <c r="C942" s="7">
        <f t="shared" si="38"/>
        <v>5</v>
      </c>
      <c r="D942" s="7">
        <v>200</v>
      </c>
      <c r="E942" s="7" t="s">
        <v>848</v>
      </c>
      <c r="G942" s="7">
        <v>1</v>
      </c>
      <c r="H942" s="7">
        <v>1</v>
      </c>
      <c r="I942" s="7">
        <v>1</v>
      </c>
    </row>
    <row r="943" spans="1:19" x14ac:dyDescent="0.55000000000000004">
      <c r="A943" s="7">
        <v>37</v>
      </c>
      <c r="B943" s="7">
        <v>1</v>
      </c>
      <c r="C943" s="7">
        <f t="shared" si="38"/>
        <v>6</v>
      </c>
      <c r="D943" s="7">
        <v>200</v>
      </c>
      <c r="E943" s="7" t="s">
        <v>848</v>
      </c>
    </row>
    <row r="944" spans="1:19" x14ac:dyDescent="0.55000000000000004">
      <c r="A944" s="7">
        <v>37</v>
      </c>
      <c r="B944" s="7">
        <v>1</v>
      </c>
      <c r="C944" s="7">
        <f t="shared" si="38"/>
        <v>7</v>
      </c>
      <c r="D944" s="7">
        <v>150</v>
      </c>
      <c r="E944" s="7" t="s">
        <v>850</v>
      </c>
      <c r="G944" s="7">
        <v>1</v>
      </c>
      <c r="H944" s="7">
        <v>1</v>
      </c>
      <c r="I944" s="7">
        <v>1</v>
      </c>
    </row>
    <row r="945" spans="1:20" x14ac:dyDescent="0.55000000000000004">
      <c r="A945" s="7">
        <v>37</v>
      </c>
      <c r="B945" s="7">
        <v>1</v>
      </c>
      <c r="C945" s="7">
        <f t="shared" si="38"/>
        <v>8</v>
      </c>
      <c r="D945" s="7">
        <v>150</v>
      </c>
      <c r="E945" s="7" t="s">
        <v>850</v>
      </c>
    </row>
    <row r="946" spans="1:20" x14ac:dyDescent="0.55000000000000004">
      <c r="A946" s="7">
        <v>37</v>
      </c>
      <c r="B946" s="7">
        <v>1</v>
      </c>
      <c r="C946" s="7">
        <f t="shared" si="38"/>
        <v>9</v>
      </c>
      <c r="D946" s="7">
        <v>100</v>
      </c>
      <c r="E946" s="7" t="s">
        <v>851</v>
      </c>
      <c r="G946" s="7">
        <v>1</v>
      </c>
      <c r="H946" s="7">
        <v>1</v>
      </c>
      <c r="I946" s="7">
        <v>1</v>
      </c>
    </row>
    <row r="947" spans="1:20" x14ac:dyDescent="0.55000000000000004">
      <c r="A947" s="7">
        <v>37</v>
      </c>
      <c r="B947" s="7">
        <v>1</v>
      </c>
      <c r="C947" s="7">
        <f t="shared" si="38"/>
        <v>10</v>
      </c>
      <c r="D947" s="7">
        <v>70</v>
      </c>
      <c r="E947" s="7" t="s">
        <v>852</v>
      </c>
      <c r="G947" s="7">
        <v>1</v>
      </c>
      <c r="H947" s="7">
        <v>1</v>
      </c>
      <c r="I947" s="7">
        <v>1</v>
      </c>
    </row>
    <row r="948" spans="1:20" x14ac:dyDescent="0.55000000000000004">
      <c r="A948" s="7">
        <v>37</v>
      </c>
      <c r="B948" s="7">
        <v>1</v>
      </c>
      <c r="C948" s="7">
        <f t="shared" si="38"/>
        <v>11</v>
      </c>
      <c r="D948" s="7">
        <v>55</v>
      </c>
      <c r="E948" s="7" t="s">
        <v>853</v>
      </c>
      <c r="G948" s="7">
        <v>1</v>
      </c>
      <c r="H948" s="7">
        <v>1</v>
      </c>
      <c r="I948" s="7">
        <v>1</v>
      </c>
      <c r="J948" s="7">
        <v>1</v>
      </c>
      <c r="T948" s="7" t="s">
        <v>928</v>
      </c>
    </row>
    <row r="949" spans="1:20" x14ac:dyDescent="0.55000000000000004">
      <c r="A949" s="7">
        <v>37</v>
      </c>
      <c r="B949" s="7">
        <v>1</v>
      </c>
      <c r="C949" s="7">
        <f t="shared" si="38"/>
        <v>12</v>
      </c>
      <c r="D949" s="7">
        <v>40</v>
      </c>
      <c r="E949" s="7" t="s">
        <v>854</v>
      </c>
      <c r="G949" s="7">
        <v>1</v>
      </c>
      <c r="H949" s="7">
        <v>1</v>
      </c>
      <c r="I949" s="7">
        <v>1</v>
      </c>
      <c r="J949" s="7">
        <v>1</v>
      </c>
    </row>
    <row r="950" spans="1:20" x14ac:dyDescent="0.55000000000000004">
      <c r="A950" s="7">
        <v>37</v>
      </c>
      <c r="B950" s="7">
        <v>1</v>
      </c>
      <c r="C950" s="7">
        <f t="shared" si="38"/>
        <v>13</v>
      </c>
      <c r="D950" s="7">
        <v>40</v>
      </c>
      <c r="E950" s="7" t="s">
        <v>854</v>
      </c>
    </row>
    <row r="951" spans="1:20" x14ac:dyDescent="0.55000000000000004">
      <c r="A951" s="7">
        <v>37</v>
      </c>
      <c r="B951" s="7">
        <v>1</v>
      </c>
      <c r="C951" s="7">
        <f t="shared" si="38"/>
        <v>14</v>
      </c>
      <c r="D951" s="7">
        <v>30</v>
      </c>
      <c r="E951" s="7" t="s">
        <v>855</v>
      </c>
      <c r="G951" s="7">
        <v>1</v>
      </c>
      <c r="H951" s="7">
        <v>1</v>
      </c>
      <c r="I951" s="7">
        <v>1</v>
      </c>
      <c r="J951" s="7">
        <v>1</v>
      </c>
    </row>
    <row r="952" spans="1:20" x14ac:dyDescent="0.55000000000000004">
      <c r="A952" s="7">
        <v>37</v>
      </c>
      <c r="B952" s="7">
        <v>1</v>
      </c>
      <c r="C952" s="7">
        <f t="shared" si="38"/>
        <v>15</v>
      </c>
      <c r="D952" s="7">
        <v>20</v>
      </c>
      <c r="E952" s="7" t="s">
        <v>856</v>
      </c>
      <c r="G952" s="7">
        <v>1</v>
      </c>
      <c r="H952" s="7">
        <v>1</v>
      </c>
      <c r="I952" s="7">
        <v>1</v>
      </c>
      <c r="J952" s="7">
        <v>1</v>
      </c>
    </row>
    <row r="953" spans="1:20" x14ac:dyDescent="0.55000000000000004">
      <c r="A953" s="7">
        <v>37</v>
      </c>
      <c r="B953" s="7">
        <v>1</v>
      </c>
      <c r="C953" s="7">
        <f t="shared" si="38"/>
        <v>16</v>
      </c>
      <c r="D953" s="7">
        <v>10</v>
      </c>
      <c r="E953" s="7" t="s">
        <v>857</v>
      </c>
      <c r="G953" s="7">
        <v>1</v>
      </c>
      <c r="H953" s="7">
        <v>1</v>
      </c>
      <c r="I953" s="7">
        <v>1</v>
      </c>
      <c r="J953" s="7">
        <v>1</v>
      </c>
    </row>
    <row r="954" spans="1:20" x14ac:dyDescent="0.55000000000000004">
      <c r="A954" s="7">
        <v>37</v>
      </c>
      <c r="B954" s="7">
        <v>1</v>
      </c>
      <c r="C954" s="7">
        <f t="shared" si="38"/>
        <v>17</v>
      </c>
      <c r="D954" s="7">
        <v>3.1</v>
      </c>
      <c r="E954" s="7" t="s">
        <v>858</v>
      </c>
      <c r="K954" s="7">
        <v>1</v>
      </c>
    </row>
    <row r="955" spans="1:20" x14ac:dyDescent="0.55000000000000004">
      <c r="A955" s="7">
        <v>37</v>
      </c>
      <c r="B955" s="7">
        <v>1</v>
      </c>
      <c r="C955" s="7">
        <f t="shared" si="38"/>
        <v>18</v>
      </c>
      <c r="D955" s="7">
        <v>3.1</v>
      </c>
      <c r="E955" s="7" t="s">
        <v>858</v>
      </c>
      <c r="K955" s="7">
        <v>1</v>
      </c>
    </row>
    <row r="956" spans="1:20" x14ac:dyDescent="0.55000000000000004">
      <c r="A956" s="7">
        <v>37</v>
      </c>
      <c r="B956" s="7">
        <v>1</v>
      </c>
      <c r="C956" s="7">
        <f t="shared" si="38"/>
        <v>19</v>
      </c>
      <c r="D956" s="7">
        <v>3.1</v>
      </c>
      <c r="E956" s="7" t="s">
        <v>858</v>
      </c>
      <c r="K956" s="7">
        <v>1</v>
      </c>
    </row>
    <row r="957" spans="1:20" x14ac:dyDescent="0.55000000000000004">
      <c r="A957" s="7">
        <v>37</v>
      </c>
      <c r="B957" s="7">
        <v>1</v>
      </c>
      <c r="C957" s="7">
        <f t="shared" si="38"/>
        <v>20</v>
      </c>
      <c r="D957" s="7">
        <v>3.1</v>
      </c>
      <c r="E957" s="7" t="s">
        <v>858</v>
      </c>
      <c r="K957" s="7">
        <v>1</v>
      </c>
    </row>
    <row r="958" spans="1:20" x14ac:dyDescent="0.55000000000000004">
      <c r="A958" s="7">
        <v>37</v>
      </c>
      <c r="B958" s="7">
        <v>1</v>
      </c>
      <c r="C958" s="7">
        <f>C957+1</f>
        <v>21</v>
      </c>
      <c r="D958" s="7">
        <v>3.1</v>
      </c>
      <c r="E958" s="7" t="s">
        <v>858</v>
      </c>
      <c r="K958" s="7">
        <v>1</v>
      </c>
    </row>
    <row r="959" spans="1:20" x14ac:dyDescent="0.55000000000000004">
      <c r="A959" s="7">
        <v>37</v>
      </c>
      <c r="B959" s="7">
        <v>1</v>
      </c>
      <c r="C959" s="7">
        <f t="shared" si="38"/>
        <v>22</v>
      </c>
      <c r="D959" s="7">
        <v>3.1</v>
      </c>
      <c r="E959" s="7" t="s">
        <v>858</v>
      </c>
      <c r="K959" s="7">
        <v>1</v>
      </c>
    </row>
    <row r="960" spans="1:20" x14ac:dyDescent="0.55000000000000004">
      <c r="A960" s="7">
        <v>37</v>
      </c>
      <c r="B960" s="7">
        <v>1</v>
      </c>
      <c r="C960" s="7">
        <f t="shared" si="38"/>
        <v>23</v>
      </c>
      <c r="D960" s="7">
        <v>3.1</v>
      </c>
      <c r="E960" s="7" t="s">
        <v>858</v>
      </c>
      <c r="S960" s="7">
        <v>1</v>
      </c>
    </row>
    <row r="961" spans="1:18" x14ac:dyDescent="0.55000000000000004">
      <c r="A961" s="7">
        <v>37</v>
      </c>
      <c r="B961" s="7">
        <v>1</v>
      </c>
      <c r="C961" s="7">
        <f t="shared" si="38"/>
        <v>24</v>
      </c>
      <c r="D961" s="7">
        <v>3.1</v>
      </c>
      <c r="E961" s="7" t="s">
        <v>858</v>
      </c>
      <c r="G961" s="7">
        <v>1</v>
      </c>
      <c r="H961" s="7">
        <v>1</v>
      </c>
      <c r="I961" s="7">
        <v>1</v>
      </c>
      <c r="J961" s="7">
        <v>1</v>
      </c>
      <c r="Q961" s="7">
        <v>1</v>
      </c>
      <c r="R961" s="7">
        <v>1</v>
      </c>
    </row>
    <row r="962" spans="1:18" x14ac:dyDescent="0.55000000000000004">
      <c r="A962" s="7">
        <v>38</v>
      </c>
      <c r="B962" s="7">
        <v>1</v>
      </c>
      <c r="C962" s="7">
        <v>1</v>
      </c>
      <c r="D962" s="7">
        <v>2861</v>
      </c>
      <c r="E962" s="7" t="s">
        <v>882</v>
      </c>
      <c r="G962" s="7">
        <v>1</v>
      </c>
      <c r="I962" s="7">
        <v>1</v>
      </c>
      <c r="P962" s="7">
        <v>1</v>
      </c>
      <c r="Q962" s="7">
        <v>1</v>
      </c>
    </row>
    <row r="963" spans="1:18" x14ac:dyDescent="0.55000000000000004">
      <c r="A963" s="7">
        <v>38</v>
      </c>
      <c r="B963" s="7">
        <v>1</v>
      </c>
      <c r="C963" s="7">
        <f>C962+1</f>
        <v>2</v>
      </c>
      <c r="D963" s="7">
        <v>2498</v>
      </c>
      <c r="E963" s="7" t="s">
        <v>881</v>
      </c>
      <c r="F963" s="7">
        <v>1</v>
      </c>
      <c r="G963" s="7">
        <v>1</v>
      </c>
      <c r="I963" s="7">
        <v>1</v>
      </c>
    </row>
    <row r="964" spans="1:18" x14ac:dyDescent="0.55000000000000004">
      <c r="A964" s="7">
        <v>38</v>
      </c>
      <c r="B964" s="7">
        <v>1</v>
      </c>
      <c r="C964" s="7">
        <f t="shared" ref="C964:C985" si="39">C963+1</f>
        <v>3</v>
      </c>
      <c r="D964" s="7">
        <v>2000</v>
      </c>
      <c r="E964" s="7" t="s">
        <v>880</v>
      </c>
      <c r="F964" s="7">
        <v>1</v>
      </c>
      <c r="G964" s="7">
        <v>1</v>
      </c>
      <c r="I964" s="7">
        <v>1</v>
      </c>
      <c r="O964" s="7">
        <v>1</v>
      </c>
      <c r="Q964" s="7">
        <v>1</v>
      </c>
    </row>
    <row r="965" spans="1:18" x14ac:dyDescent="0.55000000000000004">
      <c r="A965" s="7">
        <v>38</v>
      </c>
      <c r="B965" s="7">
        <v>1</v>
      </c>
      <c r="C965" s="7">
        <f t="shared" si="39"/>
        <v>4</v>
      </c>
      <c r="D965" s="7">
        <v>1500</v>
      </c>
      <c r="E965" s="7" t="s">
        <v>879</v>
      </c>
      <c r="G965" s="7">
        <v>1</v>
      </c>
      <c r="I965" s="7">
        <v>1</v>
      </c>
    </row>
    <row r="966" spans="1:18" x14ac:dyDescent="0.55000000000000004">
      <c r="A966" s="7">
        <v>38</v>
      </c>
      <c r="B966" s="7">
        <v>1</v>
      </c>
      <c r="C966" s="7">
        <f t="shared" si="39"/>
        <v>5</v>
      </c>
      <c r="D966" s="7">
        <v>1000</v>
      </c>
      <c r="E966" s="7" t="s">
        <v>878</v>
      </c>
      <c r="G966" s="7">
        <v>1</v>
      </c>
      <c r="I966" s="7">
        <v>1</v>
      </c>
      <c r="O966" s="7">
        <v>1</v>
      </c>
      <c r="P966" s="7">
        <v>1</v>
      </c>
      <c r="Q966" s="7">
        <v>1</v>
      </c>
    </row>
    <row r="967" spans="1:18" x14ac:dyDescent="0.55000000000000004">
      <c r="A967" s="7">
        <v>38</v>
      </c>
      <c r="B967" s="7">
        <v>1</v>
      </c>
      <c r="C967" s="7">
        <f t="shared" si="39"/>
        <v>6</v>
      </c>
      <c r="D967" s="7">
        <v>750</v>
      </c>
      <c r="E967" s="7" t="s">
        <v>877</v>
      </c>
      <c r="G967" s="7">
        <v>1</v>
      </c>
      <c r="I967" s="7">
        <v>1</v>
      </c>
    </row>
    <row r="968" spans="1:18" x14ac:dyDescent="0.55000000000000004">
      <c r="A968" s="7">
        <v>38</v>
      </c>
      <c r="B968" s="7">
        <v>1</v>
      </c>
      <c r="C968" s="7">
        <f t="shared" si="39"/>
        <v>7</v>
      </c>
      <c r="D968" s="7">
        <v>499</v>
      </c>
      <c r="E968" s="7" t="s">
        <v>876</v>
      </c>
      <c r="G968" s="7">
        <v>1</v>
      </c>
      <c r="I968" s="7">
        <v>1</v>
      </c>
      <c r="O968" s="7">
        <v>1</v>
      </c>
      <c r="Q968" s="7">
        <v>1</v>
      </c>
    </row>
    <row r="969" spans="1:18" x14ac:dyDescent="0.55000000000000004">
      <c r="A969" s="7">
        <v>38</v>
      </c>
      <c r="B969" s="7">
        <v>1</v>
      </c>
      <c r="C969" s="7">
        <f t="shared" si="39"/>
        <v>8</v>
      </c>
      <c r="D969" s="7">
        <v>299</v>
      </c>
      <c r="E969" s="7" t="s">
        <v>875</v>
      </c>
      <c r="G969" s="7">
        <v>1</v>
      </c>
      <c r="I969" s="7">
        <v>1</v>
      </c>
      <c r="P969" s="7">
        <v>1</v>
      </c>
      <c r="Q969" s="7">
        <v>1</v>
      </c>
    </row>
    <row r="970" spans="1:18" x14ac:dyDescent="0.55000000000000004">
      <c r="A970" s="7">
        <v>38</v>
      </c>
      <c r="B970" s="7">
        <v>1</v>
      </c>
      <c r="C970" s="7">
        <f t="shared" si="39"/>
        <v>9</v>
      </c>
      <c r="D970" s="7">
        <v>250</v>
      </c>
      <c r="E970" s="7" t="s">
        <v>874</v>
      </c>
      <c r="G970" s="7">
        <v>1</v>
      </c>
      <c r="I970" s="7">
        <v>1</v>
      </c>
      <c r="O970" s="7">
        <v>1</v>
      </c>
      <c r="P970" s="7">
        <v>1</v>
      </c>
      <c r="Q970" s="7">
        <v>1</v>
      </c>
    </row>
    <row r="971" spans="1:18" x14ac:dyDescent="0.55000000000000004">
      <c r="A971" s="7">
        <v>38</v>
      </c>
      <c r="B971" s="7">
        <v>1</v>
      </c>
      <c r="C971" s="7">
        <f t="shared" si="39"/>
        <v>10</v>
      </c>
      <c r="D971" s="7">
        <v>200</v>
      </c>
      <c r="E971" s="7" t="s">
        <v>873</v>
      </c>
      <c r="G971" s="7">
        <v>1</v>
      </c>
      <c r="I971" s="7">
        <v>1</v>
      </c>
      <c r="P971" s="7">
        <v>1</v>
      </c>
      <c r="Q971" s="7">
        <v>1</v>
      </c>
    </row>
    <row r="972" spans="1:18" x14ac:dyDescent="0.55000000000000004">
      <c r="A972" s="7">
        <v>38</v>
      </c>
      <c r="B972" s="7">
        <v>1</v>
      </c>
      <c r="C972" s="7">
        <f t="shared" si="39"/>
        <v>11</v>
      </c>
      <c r="D972" s="7">
        <v>175</v>
      </c>
      <c r="E972" s="7" t="s">
        <v>872</v>
      </c>
      <c r="G972" s="7">
        <v>1</v>
      </c>
      <c r="I972" s="7">
        <v>1</v>
      </c>
      <c r="P972" s="7">
        <v>1</v>
      </c>
    </row>
    <row r="973" spans="1:18" x14ac:dyDescent="0.55000000000000004">
      <c r="A973" s="7">
        <v>38</v>
      </c>
      <c r="B973" s="7">
        <v>1</v>
      </c>
      <c r="C973" s="7">
        <f t="shared" si="39"/>
        <v>12</v>
      </c>
      <c r="D973" s="7">
        <v>150</v>
      </c>
      <c r="E973" s="7" t="s">
        <v>871</v>
      </c>
      <c r="G973" s="7">
        <v>1</v>
      </c>
      <c r="I973" s="7">
        <v>1</v>
      </c>
      <c r="O973" s="7">
        <v>1</v>
      </c>
      <c r="P973" s="7">
        <v>1</v>
      </c>
      <c r="Q973" s="7">
        <v>1</v>
      </c>
    </row>
    <row r="974" spans="1:18" x14ac:dyDescent="0.55000000000000004">
      <c r="A974" s="7">
        <v>38</v>
      </c>
      <c r="B974" s="7">
        <v>1</v>
      </c>
      <c r="C974" s="7">
        <f t="shared" si="39"/>
        <v>13</v>
      </c>
      <c r="D974" s="7">
        <v>129</v>
      </c>
      <c r="E974" s="7" t="s">
        <v>870</v>
      </c>
      <c r="G974" s="7">
        <v>1</v>
      </c>
      <c r="I974" s="7">
        <v>1</v>
      </c>
      <c r="P974" s="7">
        <v>1</v>
      </c>
    </row>
    <row r="975" spans="1:18" x14ac:dyDescent="0.55000000000000004">
      <c r="A975" s="7">
        <v>38</v>
      </c>
      <c r="B975" s="7">
        <v>1</v>
      </c>
      <c r="C975" s="7">
        <f t="shared" si="39"/>
        <v>14</v>
      </c>
      <c r="D975" s="7">
        <v>114</v>
      </c>
      <c r="E975" s="7" t="s">
        <v>869</v>
      </c>
      <c r="G975" s="7">
        <v>1</v>
      </c>
      <c r="I975" s="7">
        <v>1</v>
      </c>
      <c r="P975" s="7">
        <v>1</v>
      </c>
    </row>
    <row r="976" spans="1:18" x14ac:dyDescent="0.55000000000000004">
      <c r="A976" s="7">
        <v>38</v>
      </c>
      <c r="B976" s="7">
        <v>1</v>
      </c>
      <c r="C976" s="7">
        <f t="shared" si="39"/>
        <v>15</v>
      </c>
      <c r="D976" s="7">
        <v>100</v>
      </c>
      <c r="E976" s="7" t="s">
        <v>868</v>
      </c>
      <c r="G976" s="7">
        <v>1</v>
      </c>
      <c r="I976" s="7">
        <v>1</v>
      </c>
      <c r="O976" s="7">
        <v>1</v>
      </c>
      <c r="P976" s="7">
        <v>1</v>
      </c>
      <c r="Q976" s="7">
        <v>1</v>
      </c>
    </row>
    <row r="977" spans="1:18" x14ac:dyDescent="0.55000000000000004">
      <c r="A977" s="7">
        <v>38</v>
      </c>
      <c r="B977" s="7">
        <v>1</v>
      </c>
      <c r="C977" s="7">
        <f t="shared" si="39"/>
        <v>16</v>
      </c>
      <c r="D977" s="7">
        <v>85</v>
      </c>
      <c r="E977" s="7" t="s">
        <v>867</v>
      </c>
      <c r="G977" s="7">
        <v>1</v>
      </c>
      <c r="I977" s="7">
        <v>1</v>
      </c>
      <c r="P977" s="7">
        <v>1</v>
      </c>
    </row>
    <row r="978" spans="1:18" x14ac:dyDescent="0.55000000000000004">
      <c r="A978" s="7">
        <v>38</v>
      </c>
      <c r="B978" s="7">
        <v>1</v>
      </c>
      <c r="C978" s="7">
        <f t="shared" si="39"/>
        <v>17</v>
      </c>
      <c r="D978" s="7">
        <v>69</v>
      </c>
      <c r="E978" s="7" t="s">
        <v>866</v>
      </c>
      <c r="G978" s="7">
        <v>1</v>
      </c>
      <c r="I978" s="7">
        <v>1</v>
      </c>
      <c r="O978" s="7">
        <v>1</v>
      </c>
      <c r="P978" s="7">
        <v>1</v>
      </c>
    </row>
    <row r="979" spans="1:18" x14ac:dyDescent="0.55000000000000004">
      <c r="A979" s="7">
        <v>38</v>
      </c>
      <c r="B979" s="7">
        <v>1</v>
      </c>
      <c r="C979" s="7">
        <f t="shared" si="39"/>
        <v>18</v>
      </c>
      <c r="D979" s="7">
        <v>55</v>
      </c>
      <c r="E979" s="7" t="s">
        <v>865</v>
      </c>
      <c r="G979" s="7">
        <v>1</v>
      </c>
      <c r="I979" s="7">
        <v>1</v>
      </c>
      <c r="J979" s="7">
        <v>1</v>
      </c>
      <c r="O979" s="7">
        <v>1</v>
      </c>
      <c r="P979" s="7">
        <v>1</v>
      </c>
    </row>
    <row r="980" spans="1:18" x14ac:dyDescent="0.55000000000000004">
      <c r="A980" s="7">
        <v>38</v>
      </c>
      <c r="B980" s="7">
        <v>1</v>
      </c>
      <c r="C980" s="7">
        <f t="shared" si="39"/>
        <v>19</v>
      </c>
      <c r="D980" s="7">
        <v>40</v>
      </c>
      <c r="E980" s="7" t="s">
        <v>864</v>
      </c>
      <c r="G980" s="7">
        <v>1</v>
      </c>
      <c r="I980" s="7">
        <v>1</v>
      </c>
      <c r="J980" s="7">
        <v>1</v>
      </c>
      <c r="P980" s="7">
        <v>1</v>
      </c>
    </row>
    <row r="981" spans="1:18" x14ac:dyDescent="0.55000000000000004">
      <c r="A981" s="7">
        <v>38</v>
      </c>
      <c r="B981" s="7">
        <v>1</v>
      </c>
      <c r="C981" s="7">
        <f t="shared" si="39"/>
        <v>20</v>
      </c>
      <c r="D981" s="7">
        <v>30</v>
      </c>
      <c r="E981" s="7" t="s">
        <v>863</v>
      </c>
      <c r="G981" s="7">
        <v>1</v>
      </c>
      <c r="I981" s="7">
        <v>1</v>
      </c>
      <c r="J981" s="7">
        <v>1</v>
      </c>
      <c r="O981" s="7">
        <v>1</v>
      </c>
      <c r="P981" s="7">
        <v>1</v>
      </c>
    </row>
    <row r="982" spans="1:18" x14ac:dyDescent="0.55000000000000004">
      <c r="A982" s="7">
        <v>38</v>
      </c>
      <c r="B982" s="7">
        <v>1</v>
      </c>
      <c r="C982" s="7">
        <f t="shared" si="39"/>
        <v>21</v>
      </c>
      <c r="D982" s="7">
        <v>19</v>
      </c>
      <c r="E982" s="7" t="s">
        <v>862</v>
      </c>
      <c r="G982" s="7">
        <v>1</v>
      </c>
      <c r="I982" s="7">
        <v>1</v>
      </c>
      <c r="J982" s="7">
        <v>1</v>
      </c>
      <c r="P982" s="7">
        <v>1</v>
      </c>
      <c r="Q982" s="7">
        <v>1</v>
      </c>
    </row>
    <row r="983" spans="1:18" x14ac:dyDescent="0.55000000000000004">
      <c r="A983" s="7">
        <v>38</v>
      </c>
      <c r="B983" s="7">
        <v>1</v>
      </c>
      <c r="C983" s="7">
        <f>C982+1</f>
        <v>22</v>
      </c>
      <c r="D983" s="7">
        <v>10</v>
      </c>
      <c r="E983" s="7" t="s">
        <v>861</v>
      </c>
      <c r="G983" s="7">
        <v>1</v>
      </c>
      <c r="I983" s="7">
        <v>1</v>
      </c>
      <c r="J983" s="7">
        <v>1</v>
      </c>
      <c r="O983" s="7">
        <v>1</v>
      </c>
      <c r="P983" s="7">
        <v>1</v>
      </c>
    </row>
    <row r="984" spans="1:18" x14ac:dyDescent="0.55000000000000004">
      <c r="A984" s="7">
        <v>38</v>
      </c>
      <c r="B984" s="7">
        <v>1</v>
      </c>
      <c r="C984" s="7">
        <f t="shared" si="39"/>
        <v>23</v>
      </c>
      <c r="D984" s="7">
        <v>2.5</v>
      </c>
      <c r="E984" s="7" t="s">
        <v>860</v>
      </c>
    </row>
    <row r="985" spans="1:18" x14ac:dyDescent="0.55000000000000004">
      <c r="A985" s="7">
        <v>38</v>
      </c>
      <c r="B985" s="7">
        <v>1</v>
      </c>
      <c r="C985" s="7">
        <f t="shared" si="39"/>
        <v>24</v>
      </c>
      <c r="D985" s="7">
        <v>2.5</v>
      </c>
      <c r="E985" s="7" t="s">
        <v>860</v>
      </c>
      <c r="G985" s="7">
        <v>1</v>
      </c>
      <c r="I985" s="7">
        <v>1</v>
      </c>
      <c r="J985" s="7">
        <v>1</v>
      </c>
      <c r="O985" s="7">
        <v>1</v>
      </c>
      <c r="P985" s="7">
        <v>1</v>
      </c>
      <c r="Q985" s="7">
        <v>1</v>
      </c>
      <c r="R985" s="7">
        <v>1</v>
      </c>
    </row>
    <row r="986" spans="1:18" x14ac:dyDescent="0.55000000000000004">
      <c r="A986" s="7">
        <v>39</v>
      </c>
      <c r="B986" s="7">
        <v>1</v>
      </c>
      <c r="C986" s="7">
        <v>1</v>
      </c>
      <c r="D986" s="7">
        <v>249.9</v>
      </c>
      <c r="E986" s="7" t="s">
        <v>883</v>
      </c>
      <c r="K986" s="7">
        <v>1</v>
      </c>
    </row>
    <row r="987" spans="1:18" x14ac:dyDescent="0.55000000000000004">
      <c r="A987" s="7">
        <v>39</v>
      </c>
      <c r="B987" s="7">
        <v>1</v>
      </c>
      <c r="C987" s="7">
        <f>C986+1</f>
        <v>2</v>
      </c>
      <c r="D987" s="7">
        <v>249.9</v>
      </c>
      <c r="E987" s="7" t="s">
        <v>883</v>
      </c>
      <c r="K987" s="7">
        <v>1</v>
      </c>
    </row>
    <row r="988" spans="1:18" x14ac:dyDescent="0.55000000000000004">
      <c r="A988" s="7">
        <v>39</v>
      </c>
      <c r="B988" s="7">
        <v>1</v>
      </c>
      <c r="C988" s="7">
        <f t="shared" ref="C988:C1009" si="40">C987+1</f>
        <v>3</v>
      </c>
      <c r="D988" s="7">
        <v>249.9</v>
      </c>
      <c r="E988" s="7" t="s">
        <v>883</v>
      </c>
      <c r="K988" s="7">
        <v>1</v>
      </c>
    </row>
    <row r="989" spans="1:18" x14ac:dyDescent="0.55000000000000004">
      <c r="A989" s="7">
        <v>39</v>
      </c>
      <c r="B989" s="7">
        <v>1</v>
      </c>
      <c r="C989" s="7">
        <f t="shared" si="40"/>
        <v>4</v>
      </c>
      <c r="D989" s="7">
        <v>249.9</v>
      </c>
      <c r="E989" s="7" t="s">
        <v>883</v>
      </c>
      <c r="K989" s="7">
        <v>1</v>
      </c>
    </row>
    <row r="990" spans="1:18" x14ac:dyDescent="0.55000000000000004">
      <c r="A990" s="7">
        <v>39</v>
      </c>
      <c r="B990" s="7">
        <v>1</v>
      </c>
      <c r="C990" s="7">
        <f t="shared" si="40"/>
        <v>5</v>
      </c>
      <c r="D990" s="7">
        <v>249.9</v>
      </c>
      <c r="E990" s="7" t="s">
        <v>883</v>
      </c>
      <c r="K990" s="7">
        <v>1</v>
      </c>
    </row>
    <row r="991" spans="1:18" x14ac:dyDescent="0.55000000000000004">
      <c r="A991" s="7">
        <v>39</v>
      </c>
      <c r="B991" s="7">
        <v>1</v>
      </c>
      <c r="C991" s="7">
        <f t="shared" si="40"/>
        <v>6</v>
      </c>
      <c r="D991" s="7">
        <v>249.9</v>
      </c>
      <c r="E991" s="7" t="s">
        <v>883</v>
      </c>
      <c r="K991" s="7">
        <v>1</v>
      </c>
    </row>
    <row r="992" spans="1:18" x14ac:dyDescent="0.55000000000000004">
      <c r="A992" s="7">
        <v>39</v>
      </c>
      <c r="B992" s="7">
        <v>1</v>
      </c>
      <c r="C992" s="7">
        <f t="shared" si="40"/>
        <v>7</v>
      </c>
      <c r="D992" s="7">
        <v>100</v>
      </c>
      <c r="E992" s="7" t="s">
        <v>884</v>
      </c>
      <c r="K992" s="7">
        <v>1</v>
      </c>
    </row>
    <row r="993" spans="1:19" x14ac:dyDescent="0.55000000000000004">
      <c r="A993" s="7">
        <v>39</v>
      </c>
      <c r="B993" s="7">
        <v>1</v>
      </c>
      <c r="C993" s="7">
        <f t="shared" si="40"/>
        <v>8</v>
      </c>
      <c r="D993" s="7">
        <v>100</v>
      </c>
      <c r="E993" s="7" t="s">
        <v>884</v>
      </c>
      <c r="K993" s="7">
        <v>1</v>
      </c>
    </row>
    <row r="994" spans="1:19" x14ac:dyDescent="0.55000000000000004">
      <c r="A994" s="7">
        <v>39</v>
      </c>
      <c r="B994" s="7">
        <v>1</v>
      </c>
      <c r="C994" s="7">
        <f t="shared" si="40"/>
        <v>9</v>
      </c>
      <c r="D994" s="7">
        <v>100</v>
      </c>
      <c r="E994" s="7" t="s">
        <v>884</v>
      </c>
      <c r="K994" s="7">
        <v>1</v>
      </c>
    </row>
    <row r="995" spans="1:19" x14ac:dyDescent="0.55000000000000004">
      <c r="A995" s="7">
        <v>39</v>
      </c>
      <c r="B995" s="7">
        <v>1</v>
      </c>
      <c r="C995" s="7">
        <f t="shared" si="40"/>
        <v>10</v>
      </c>
      <c r="D995" s="7">
        <v>100</v>
      </c>
      <c r="E995" s="7" t="s">
        <v>884</v>
      </c>
      <c r="K995" s="7">
        <v>1</v>
      </c>
    </row>
    <row r="996" spans="1:19" x14ac:dyDescent="0.55000000000000004">
      <c r="A996" s="7">
        <v>39</v>
      </c>
      <c r="B996" s="7">
        <v>1</v>
      </c>
      <c r="C996" s="7">
        <f t="shared" si="40"/>
        <v>11</v>
      </c>
      <c r="D996" s="7">
        <v>100</v>
      </c>
      <c r="E996" s="7" t="s">
        <v>884</v>
      </c>
      <c r="K996" s="7">
        <v>1</v>
      </c>
    </row>
    <row r="997" spans="1:19" x14ac:dyDescent="0.55000000000000004">
      <c r="A997" s="7">
        <v>39</v>
      </c>
      <c r="B997" s="7">
        <v>1</v>
      </c>
      <c r="C997" s="7">
        <f t="shared" si="40"/>
        <v>12</v>
      </c>
      <c r="D997" s="7">
        <v>100</v>
      </c>
      <c r="E997" s="7" t="s">
        <v>884</v>
      </c>
      <c r="K997" s="7">
        <v>1</v>
      </c>
    </row>
    <row r="998" spans="1:19" x14ac:dyDescent="0.55000000000000004">
      <c r="A998" s="7">
        <v>39</v>
      </c>
      <c r="B998" s="7">
        <v>1</v>
      </c>
      <c r="C998" s="7">
        <f t="shared" si="40"/>
        <v>13</v>
      </c>
      <c r="D998" s="7">
        <v>39.700000000000003</v>
      </c>
      <c r="E998" s="7" t="s">
        <v>886</v>
      </c>
      <c r="G998" s="7">
        <v>1</v>
      </c>
      <c r="I998" s="7">
        <v>1</v>
      </c>
      <c r="S998" s="7">
        <v>1</v>
      </c>
    </row>
    <row r="999" spans="1:19" x14ac:dyDescent="0.55000000000000004">
      <c r="A999" s="7">
        <v>39</v>
      </c>
      <c r="B999" s="7">
        <v>1</v>
      </c>
      <c r="C999" s="7">
        <f t="shared" si="40"/>
        <v>14</v>
      </c>
      <c r="D999" s="7">
        <v>39.700000000000003</v>
      </c>
      <c r="E999" s="7" t="s">
        <v>886</v>
      </c>
      <c r="K999" s="7">
        <v>1</v>
      </c>
    </row>
    <row r="1000" spans="1:19" x14ac:dyDescent="0.55000000000000004">
      <c r="A1000" s="7">
        <v>39</v>
      </c>
      <c r="B1000" s="7">
        <v>1</v>
      </c>
      <c r="C1000" s="7">
        <f t="shared" si="40"/>
        <v>15</v>
      </c>
      <c r="D1000" s="7">
        <v>39.700000000000003</v>
      </c>
      <c r="E1000" s="7" t="s">
        <v>886</v>
      </c>
      <c r="K1000" s="7">
        <v>1</v>
      </c>
    </row>
    <row r="1001" spans="1:19" x14ac:dyDescent="0.55000000000000004">
      <c r="A1001" s="7">
        <v>39</v>
      </c>
      <c r="B1001" s="7">
        <v>1</v>
      </c>
      <c r="C1001" s="7">
        <f t="shared" si="40"/>
        <v>16</v>
      </c>
      <c r="D1001" s="7">
        <v>39.700000000000003</v>
      </c>
      <c r="E1001" s="7" t="s">
        <v>886</v>
      </c>
      <c r="K1001" s="7">
        <v>1</v>
      </c>
    </row>
    <row r="1002" spans="1:19" x14ac:dyDescent="0.55000000000000004">
      <c r="A1002" s="7">
        <v>39</v>
      </c>
      <c r="B1002" s="7">
        <v>1</v>
      </c>
      <c r="C1002" s="7">
        <f t="shared" si="40"/>
        <v>17</v>
      </c>
      <c r="D1002" s="7">
        <v>39.700000000000003</v>
      </c>
      <c r="E1002" s="7" t="s">
        <v>886</v>
      </c>
      <c r="K1002" s="7">
        <v>1</v>
      </c>
    </row>
    <row r="1003" spans="1:19" x14ac:dyDescent="0.55000000000000004">
      <c r="A1003" s="7">
        <v>39</v>
      </c>
      <c r="B1003" s="7">
        <v>1</v>
      </c>
      <c r="C1003" s="7">
        <f t="shared" si="40"/>
        <v>18</v>
      </c>
      <c r="D1003" s="7">
        <v>39.700000000000003</v>
      </c>
      <c r="E1003" s="7" t="s">
        <v>886</v>
      </c>
      <c r="K1003" s="7">
        <v>1</v>
      </c>
    </row>
    <row r="1004" spans="1:19" x14ac:dyDescent="0.55000000000000004">
      <c r="A1004" s="7">
        <v>39</v>
      </c>
      <c r="B1004" s="7">
        <v>1</v>
      </c>
      <c r="C1004" s="7">
        <f t="shared" si="40"/>
        <v>19</v>
      </c>
      <c r="D1004" s="7">
        <v>20</v>
      </c>
      <c r="E1004" s="7" t="s">
        <v>887</v>
      </c>
      <c r="K1004" s="7">
        <v>1</v>
      </c>
    </row>
    <row r="1005" spans="1:19" x14ac:dyDescent="0.55000000000000004">
      <c r="A1005" s="7">
        <v>39</v>
      </c>
      <c r="B1005" s="7">
        <v>1</v>
      </c>
      <c r="C1005" s="7">
        <f t="shared" si="40"/>
        <v>20</v>
      </c>
      <c r="D1005" s="7">
        <v>20</v>
      </c>
      <c r="E1005" s="7" t="s">
        <v>887</v>
      </c>
      <c r="K1005" s="7">
        <v>1</v>
      </c>
    </row>
    <row r="1006" spans="1:19" x14ac:dyDescent="0.55000000000000004">
      <c r="A1006" s="7">
        <v>39</v>
      </c>
      <c r="B1006" s="7">
        <v>1</v>
      </c>
      <c r="C1006" s="7">
        <f t="shared" si="40"/>
        <v>21</v>
      </c>
      <c r="D1006" s="7">
        <v>20</v>
      </c>
      <c r="E1006" s="7" t="s">
        <v>887</v>
      </c>
      <c r="K1006" s="7">
        <v>1</v>
      </c>
    </row>
    <row r="1007" spans="1:19" x14ac:dyDescent="0.55000000000000004">
      <c r="A1007" s="7">
        <v>39</v>
      </c>
      <c r="B1007" s="7">
        <v>1</v>
      </c>
      <c r="C1007" s="7">
        <f>C1006+1</f>
        <v>22</v>
      </c>
      <c r="D1007" s="7">
        <v>20</v>
      </c>
      <c r="E1007" s="7" t="s">
        <v>887</v>
      </c>
      <c r="K1007" s="7">
        <v>1</v>
      </c>
    </row>
    <row r="1008" spans="1:19" x14ac:dyDescent="0.55000000000000004">
      <c r="A1008" s="7">
        <v>39</v>
      </c>
      <c r="B1008" s="7">
        <v>1</v>
      </c>
      <c r="C1008" s="7">
        <f t="shared" si="40"/>
        <v>23</v>
      </c>
      <c r="D1008" s="7">
        <v>20</v>
      </c>
      <c r="E1008" s="7" t="s">
        <v>887</v>
      </c>
      <c r="K1008" s="7">
        <v>1</v>
      </c>
    </row>
    <row r="1009" spans="1:20" x14ac:dyDescent="0.55000000000000004">
      <c r="A1009" s="7">
        <v>39</v>
      </c>
      <c r="B1009" s="7">
        <v>1</v>
      </c>
      <c r="C1009" s="7">
        <f t="shared" si="40"/>
        <v>24</v>
      </c>
      <c r="D1009" s="7" t="s">
        <v>1037</v>
      </c>
      <c r="E1009" s="7" t="s">
        <v>1036</v>
      </c>
      <c r="G1009" s="7">
        <v>1</v>
      </c>
      <c r="I1009" s="7">
        <v>1</v>
      </c>
      <c r="S1009" s="7">
        <v>1</v>
      </c>
    </row>
    <row r="1010" spans="1:20" x14ac:dyDescent="0.55000000000000004">
      <c r="A1010" s="7">
        <v>40</v>
      </c>
      <c r="B1010" s="7">
        <v>1</v>
      </c>
      <c r="C1010" s="7">
        <v>1</v>
      </c>
      <c r="D1010" s="7">
        <v>1200</v>
      </c>
      <c r="E1010" s="7" t="s">
        <v>904</v>
      </c>
      <c r="G1010" s="7">
        <v>1</v>
      </c>
      <c r="I1010" s="7">
        <v>1</v>
      </c>
    </row>
    <row r="1011" spans="1:20" x14ac:dyDescent="0.55000000000000004">
      <c r="A1011" s="7">
        <v>40</v>
      </c>
      <c r="B1011" s="7">
        <v>1</v>
      </c>
      <c r="C1011" s="7">
        <f>C1010+1</f>
        <v>2</v>
      </c>
      <c r="D1011" s="7">
        <v>1000</v>
      </c>
      <c r="E1011" s="7" t="s">
        <v>903</v>
      </c>
      <c r="T1011" s="7" t="s">
        <v>907</v>
      </c>
    </row>
    <row r="1012" spans="1:20" x14ac:dyDescent="0.55000000000000004">
      <c r="A1012" s="7">
        <v>40</v>
      </c>
      <c r="B1012" s="7">
        <v>1</v>
      </c>
      <c r="C1012" s="7">
        <f t="shared" ref="C1012:C1033" si="41">C1011+1</f>
        <v>3</v>
      </c>
      <c r="D1012" s="7">
        <v>750</v>
      </c>
      <c r="E1012" s="7" t="s">
        <v>902</v>
      </c>
      <c r="G1012" s="7">
        <v>1</v>
      </c>
      <c r="I1012" s="7">
        <v>1</v>
      </c>
    </row>
    <row r="1013" spans="1:20" x14ac:dyDescent="0.55000000000000004">
      <c r="A1013" s="7">
        <v>40</v>
      </c>
      <c r="B1013" s="7">
        <v>1</v>
      </c>
      <c r="C1013" s="7">
        <f t="shared" si="41"/>
        <v>4</v>
      </c>
      <c r="D1013" s="7">
        <v>500</v>
      </c>
      <c r="E1013" s="7" t="s">
        <v>901</v>
      </c>
      <c r="G1013" s="7">
        <v>1</v>
      </c>
      <c r="I1013" s="7">
        <v>1</v>
      </c>
      <c r="P1013" s="7">
        <v>1</v>
      </c>
    </row>
    <row r="1014" spans="1:20" x14ac:dyDescent="0.55000000000000004">
      <c r="A1014" s="7">
        <v>40</v>
      </c>
      <c r="B1014" s="7">
        <v>1</v>
      </c>
      <c r="C1014" s="7">
        <f t="shared" si="41"/>
        <v>5</v>
      </c>
      <c r="D1014" s="7">
        <v>300</v>
      </c>
      <c r="E1014" s="7" t="s">
        <v>900</v>
      </c>
      <c r="G1014" s="7">
        <v>1</v>
      </c>
      <c r="I1014" s="7">
        <v>1</v>
      </c>
    </row>
    <row r="1015" spans="1:20" x14ac:dyDescent="0.55000000000000004">
      <c r="A1015" s="7">
        <v>40</v>
      </c>
      <c r="B1015" s="7">
        <v>1</v>
      </c>
      <c r="C1015" s="7">
        <f t="shared" si="41"/>
        <v>6</v>
      </c>
      <c r="D1015" s="7">
        <v>249</v>
      </c>
      <c r="E1015" s="7" t="s">
        <v>947</v>
      </c>
      <c r="G1015" s="7">
        <v>1</v>
      </c>
      <c r="I1015" s="7">
        <v>1</v>
      </c>
    </row>
    <row r="1016" spans="1:20" x14ac:dyDescent="0.55000000000000004">
      <c r="A1016" s="7">
        <v>40</v>
      </c>
      <c r="B1016" s="7">
        <v>1</v>
      </c>
      <c r="C1016" s="7">
        <f t="shared" si="41"/>
        <v>7</v>
      </c>
      <c r="D1016" s="7">
        <v>199</v>
      </c>
      <c r="E1016" s="7" t="s">
        <v>946</v>
      </c>
      <c r="G1016" s="7">
        <v>1</v>
      </c>
      <c r="H1016" s="7">
        <v>1</v>
      </c>
      <c r="I1016" s="7">
        <v>1</v>
      </c>
      <c r="P1016" s="7">
        <v>1</v>
      </c>
    </row>
    <row r="1017" spans="1:20" x14ac:dyDescent="0.55000000000000004">
      <c r="A1017" s="7">
        <v>40</v>
      </c>
      <c r="B1017" s="7">
        <v>1</v>
      </c>
      <c r="C1017" s="7">
        <f t="shared" si="41"/>
        <v>8</v>
      </c>
      <c r="D1017" s="7">
        <v>175</v>
      </c>
      <c r="E1017" s="7" t="s">
        <v>899</v>
      </c>
      <c r="G1017" s="7">
        <v>1</v>
      </c>
      <c r="I1017" s="7">
        <v>1</v>
      </c>
    </row>
    <row r="1018" spans="1:20" x14ac:dyDescent="0.55000000000000004">
      <c r="A1018" s="7">
        <v>40</v>
      </c>
      <c r="B1018" s="7">
        <v>1</v>
      </c>
      <c r="C1018" s="7">
        <f t="shared" si="41"/>
        <v>9</v>
      </c>
      <c r="D1018" s="7">
        <v>149</v>
      </c>
      <c r="E1018" s="7" t="s">
        <v>898</v>
      </c>
      <c r="G1018" s="7">
        <v>1</v>
      </c>
      <c r="I1018" s="7">
        <v>1</v>
      </c>
    </row>
    <row r="1019" spans="1:20" x14ac:dyDescent="0.55000000000000004">
      <c r="A1019" s="7">
        <v>40</v>
      </c>
      <c r="B1019" s="7">
        <v>1</v>
      </c>
      <c r="C1019" s="7">
        <f t="shared" si="41"/>
        <v>10</v>
      </c>
      <c r="D1019" s="7">
        <v>130</v>
      </c>
      <c r="E1019" s="7" t="s">
        <v>897</v>
      </c>
      <c r="G1019" s="7">
        <v>1</v>
      </c>
      <c r="H1019" s="7">
        <v>1</v>
      </c>
      <c r="I1019" s="7">
        <v>1</v>
      </c>
      <c r="P1019" s="7">
        <v>1</v>
      </c>
    </row>
    <row r="1020" spans="1:20" x14ac:dyDescent="0.55000000000000004">
      <c r="A1020" s="7">
        <v>40</v>
      </c>
      <c r="B1020" s="7">
        <v>1</v>
      </c>
      <c r="C1020" s="7">
        <f t="shared" si="41"/>
        <v>11</v>
      </c>
      <c r="D1020" s="7">
        <v>115</v>
      </c>
      <c r="E1020" s="7" t="s">
        <v>896</v>
      </c>
      <c r="G1020" s="7">
        <v>1</v>
      </c>
      <c r="I1020" s="7">
        <v>1</v>
      </c>
      <c r="P1020" s="7">
        <v>1</v>
      </c>
    </row>
    <row r="1021" spans="1:20" x14ac:dyDescent="0.55000000000000004">
      <c r="A1021" s="7">
        <v>40</v>
      </c>
      <c r="B1021" s="7">
        <v>1</v>
      </c>
      <c r="C1021" s="7">
        <f t="shared" si="41"/>
        <v>12</v>
      </c>
      <c r="D1021" s="7">
        <v>100</v>
      </c>
      <c r="E1021" s="7" t="s">
        <v>895</v>
      </c>
      <c r="G1021" s="7">
        <v>1</v>
      </c>
      <c r="H1021" s="7">
        <v>1</v>
      </c>
      <c r="I1021" s="7">
        <v>1</v>
      </c>
      <c r="P1021" s="7">
        <v>1</v>
      </c>
    </row>
    <row r="1022" spans="1:20" x14ac:dyDescent="0.55000000000000004">
      <c r="A1022" s="7">
        <v>40</v>
      </c>
      <c r="B1022" s="7">
        <v>1</v>
      </c>
      <c r="C1022" s="7">
        <f t="shared" si="41"/>
        <v>13</v>
      </c>
      <c r="D1022" s="7">
        <v>85</v>
      </c>
      <c r="E1022" s="7" t="s">
        <v>894</v>
      </c>
      <c r="G1022" s="7">
        <v>1</v>
      </c>
      <c r="H1022" s="7">
        <v>1</v>
      </c>
      <c r="I1022" s="7">
        <v>1</v>
      </c>
      <c r="P1022" s="7">
        <v>1</v>
      </c>
    </row>
    <row r="1023" spans="1:20" x14ac:dyDescent="0.55000000000000004">
      <c r="A1023" s="7">
        <v>40</v>
      </c>
      <c r="B1023" s="7">
        <v>1</v>
      </c>
      <c r="C1023" s="7">
        <f t="shared" si="41"/>
        <v>14</v>
      </c>
      <c r="D1023" s="7">
        <v>70</v>
      </c>
      <c r="E1023" s="7" t="s">
        <v>893</v>
      </c>
      <c r="G1023" s="7">
        <v>1</v>
      </c>
      <c r="H1023" s="7">
        <v>1</v>
      </c>
      <c r="I1023" s="7">
        <v>1</v>
      </c>
      <c r="P1023" s="7">
        <v>1</v>
      </c>
    </row>
    <row r="1024" spans="1:20" x14ac:dyDescent="0.55000000000000004">
      <c r="A1024" s="7">
        <v>40</v>
      </c>
      <c r="B1024" s="7">
        <v>1</v>
      </c>
      <c r="C1024" s="7">
        <f t="shared" si="41"/>
        <v>15</v>
      </c>
      <c r="D1024" s="7">
        <v>55</v>
      </c>
      <c r="E1024" s="7" t="s">
        <v>892</v>
      </c>
      <c r="G1024" s="7">
        <v>1</v>
      </c>
      <c r="H1024" s="7">
        <v>1</v>
      </c>
      <c r="I1024" s="7">
        <v>1</v>
      </c>
      <c r="J1024" s="7">
        <v>1</v>
      </c>
      <c r="P1024" s="7">
        <v>1</v>
      </c>
    </row>
    <row r="1025" spans="1:18" x14ac:dyDescent="0.55000000000000004">
      <c r="A1025" s="7">
        <v>40</v>
      </c>
      <c r="B1025" s="7">
        <v>1</v>
      </c>
      <c r="C1025" s="7">
        <f t="shared" si="41"/>
        <v>16</v>
      </c>
      <c r="D1025" s="7">
        <v>40</v>
      </c>
      <c r="E1025" s="7" t="s">
        <v>891</v>
      </c>
      <c r="G1025" s="7">
        <v>1</v>
      </c>
      <c r="H1025" s="7">
        <v>1</v>
      </c>
      <c r="I1025" s="7">
        <v>1</v>
      </c>
      <c r="J1025" s="7">
        <v>1</v>
      </c>
      <c r="P1025" s="7">
        <v>1</v>
      </c>
    </row>
    <row r="1026" spans="1:18" x14ac:dyDescent="0.55000000000000004">
      <c r="A1026" s="7">
        <v>40</v>
      </c>
      <c r="B1026" s="7">
        <v>1</v>
      </c>
      <c r="C1026" s="7">
        <f t="shared" si="41"/>
        <v>17</v>
      </c>
      <c r="D1026" s="7">
        <v>30</v>
      </c>
      <c r="E1026" s="7" t="s">
        <v>890</v>
      </c>
      <c r="G1026" s="7">
        <v>1</v>
      </c>
      <c r="H1026" s="7">
        <v>1</v>
      </c>
      <c r="I1026" s="7">
        <v>1</v>
      </c>
      <c r="J1026" s="7">
        <v>1</v>
      </c>
      <c r="P1026" s="7">
        <v>1</v>
      </c>
    </row>
    <row r="1027" spans="1:18" x14ac:dyDescent="0.55000000000000004">
      <c r="A1027" s="7">
        <v>40</v>
      </c>
      <c r="B1027" s="7">
        <v>1</v>
      </c>
      <c r="C1027" s="7">
        <f t="shared" si="41"/>
        <v>18</v>
      </c>
      <c r="D1027" s="7">
        <v>20</v>
      </c>
      <c r="E1027" s="7" t="s">
        <v>889</v>
      </c>
      <c r="G1027" s="7">
        <v>1</v>
      </c>
      <c r="H1027" s="7">
        <v>1</v>
      </c>
      <c r="I1027" s="7">
        <v>1</v>
      </c>
      <c r="J1027" s="7">
        <v>1</v>
      </c>
      <c r="P1027" s="7">
        <v>1</v>
      </c>
    </row>
    <row r="1028" spans="1:18" x14ac:dyDescent="0.55000000000000004">
      <c r="A1028" s="7">
        <v>40</v>
      </c>
      <c r="B1028" s="7">
        <v>1</v>
      </c>
      <c r="C1028" s="7">
        <f t="shared" si="41"/>
        <v>19</v>
      </c>
      <c r="D1028" s="7">
        <v>10</v>
      </c>
      <c r="E1028" s="7" t="s">
        <v>888</v>
      </c>
      <c r="G1028" s="7">
        <v>1</v>
      </c>
      <c r="H1028" s="7">
        <v>1</v>
      </c>
      <c r="I1028" s="7">
        <v>1</v>
      </c>
      <c r="J1028" s="7">
        <v>1</v>
      </c>
      <c r="P1028" s="7">
        <v>1</v>
      </c>
    </row>
    <row r="1029" spans="1:18" x14ac:dyDescent="0.55000000000000004">
      <c r="A1029" s="7">
        <v>40</v>
      </c>
      <c r="B1029" s="7">
        <v>1</v>
      </c>
      <c r="C1029" s="7">
        <f t="shared" si="41"/>
        <v>20</v>
      </c>
      <c r="D1029" s="7">
        <v>3.3</v>
      </c>
      <c r="E1029" s="7" t="s">
        <v>885</v>
      </c>
      <c r="G1029" s="7">
        <v>1</v>
      </c>
      <c r="I1029" s="7">
        <v>1</v>
      </c>
      <c r="J1029" s="7">
        <v>1</v>
      </c>
      <c r="P1029" s="7">
        <v>1</v>
      </c>
      <c r="Q1029" s="7">
        <v>1</v>
      </c>
      <c r="R1029" s="7">
        <v>1</v>
      </c>
    </row>
    <row r="1030" spans="1:18" x14ac:dyDescent="0.55000000000000004">
      <c r="A1030" s="7">
        <v>40</v>
      </c>
      <c r="B1030" s="7">
        <v>1</v>
      </c>
      <c r="C1030" s="7">
        <f t="shared" si="41"/>
        <v>21</v>
      </c>
      <c r="D1030" s="7">
        <v>3.3</v>
      </c>
      <c r="E1030" s="7" t="s">
        <v>885</v>
      </c>
    </row>
    <row r="1031" spans="1:18" x14ac:dyDescent="0.55000000000000004">
      <c r="A1031" s="7">
        <v>40</v>
      </c>
      <c r="B1031" s="7">
        <v>1</v>
      </c>
      <c r="C1031" s="7">
        <f>C1030+1</f>
        <v>22</v>
      </c>
      <c r="D1031" s="7">
        <v>3.3</v>
      </c>
      <c r="E1031" s="7" t="s">
        <v>885</v>
      </c>
    </row>
    <row r="1032" spans="1:18" x14ac:dyDescent="0.55000000000000004">
      <c r="A1032" s="7">
        <v>40</v>
      </c>
      <c r="B1032" s="7">
        <v>1</v>
      </c>
      <c r="C1032" s="7">
        <f t="shared" si="41"/>
        <v>23</v>
      </c>
      <c r="D1032" s="7">
        <v>3.3</v>
      </c>
      <c r="E1032" s="7" t="s">
        <v>885</v>
      </c>
    </row>
    <row r="1033" spans="1:18" x14ac:dyDescent="0.55000000000000004">
      <c r="A1033" s="7">
        <v>40</v>
      </c>
      <c r="B1033" s="7">
        <v>1</v>
      </c>
      <c r="C1033" s="7">
        <f t="shared" si="41"/>
        <v>24</v>
      </c>
      <c r="D1033" s="7">
        <v>3.3</v>
      </c>
      <c r="E1033" s="7" t="s">
        <v>885</v>
      </c>
    </row>
    <row r="1034" spans="1:18" x14ac:dyDescent="0.55000000000000004">
      <c r="A1034" s="7">
        <v>41</v>
      </c>
      <c r="B1034" s="7">
        <v>1</v>
      </c>
      <c r="C1034" s="7">
        <v>1</v>
      </c>
      <c r="D1034" s="7">
        <v>1200</v>
      </c>
      <c r="E1034" s="7" t="s">
        <v>945</v>
      </c>
      <c r="G1034" s="7">
        <v>1</v>
      </c>
      <c r="I1034" s="7">
        <v>1</v>
      </c>
      <c r="Q1034" s="7">
        <v>1</v>
      </c>
    </row>
    <row r="1035" spans="1:18" x14ac:dyDescent="0.55000000000000004">
      <c r="A1035" s="7">
        <v>41</v>
      </c>
      <c r="B1035" s="7">
        <v>1</v>
      </c>
      <c r="C1035" s="7">
        <f>C1034+1</f>
        <v>2</v>
      </c>
      <c r="D1035" s="7">
        <v>1000</v>
      </c>
      <c r="E1035" s="7" t="s">
        <v>944</v>
      </c>
      <c r="G1035" s="7">
        <v>1</v>
      </c>
      <c r="I1035" s="7">
        <v>1</v>
      </c>
      <c r="Q1035" s="7">
        <v>1</v>
      </c>
    </row>
    <row r="1036" spans="1:18" x14ac:dyDescent="0.55000000000000004">
      <c r="A1036" s="7">
        <v>41</v>
      </c>
      <c r="B1036" s="7">
        <v>1</v>
      </c>
      <c r="C1036" s="7">
        <f t="shared" ref="C1036:C1057" si="42">C1035+1</f>
        <v>3</v>
      </c>
      <c r="D1036" s="7">
        <v>750</v>
      </c>
      <c r="E1036" s="7" t="s">
        <v>943</v>
      </c>
      <c r="G1036" s="7">
        <v>1</v>
      </c>
      <c r="I1036" s="7">
        <v>1</v>
      </c>
    </row>
    <row r="1037" spans="1:18" x14ac:dyDescent="0.55000000000000004">
      <c r="A1037" s="7">
        <v>41</v>
      </c>
      <c r="B1037" s="7">
        <v>1</v>
      </c>
      <c r="C1037" s="7">
        <f t="shared" si="42"/>
        <v>4</v>
      </c>
      <c r="D1037" s="7">
        <v>500.3</v>
      </c>
      <c r="E1037" s="7" t="s">
        <v>1013</v>
      </c>
      <c r="G1037" s="7">
        <v>1</v>
      </c>
      <c r="I1037" s="7">
        <v>1</v>
      </c>
      <c r="Q1037" s="7">
        <v>1</v>
      </c>
    </row>
    <row r="1038" spans="1:18" x14ac:dyDescent="0.55000000000000004">
      <c r="A1038" s="7">
        <v>41</v>
      </c>
      <c r="B1038" s="7">
        <v>1</v>
      </c>
      <c r="C1038" s="7">
        <f t="shared" si="42"/>
        <v>5</v>
      </c>
      <c r="D1038" s="7">
        <v>300.3</v>
      </c>
      <c r="E1038" s="7" t="s">
        <v>942</v>
      </c>
      <c r="G1038" s="7">
        <v>1</v>
      </c>
      <c r="I1038" s="7">
        <v>1</v>
      </c>
      <c r="P1038" s="7">
        <v>1</v>
      </c>
      <c r="Q1038" s="7">
        <v>1</v>
      </c>
    </row>
    <row r="1039" spans="1:18" x14ac:dyDescent="0.55000000000000004">
      <c r="A1039" s="7">
        <v>41</v>
      </c>
      <c r="B1039" s="7">
        <v>1</v>
      </c>
      <c r="C1039" s="7">
        <f t="shared" si="42"/>
        <v>6</v>
      </c>
      <c r="D1039" s="7">
        <v>250</v>
      </c>
      <c r="E1039" s="7" t="s">
        <v>941</v>
      </c>
      <c r="G1039" s="7">
        <v>1</v>
      </c>
      <c r="I1039" s="7">
        <v>1</v>
      </c>
      <c r="P1039" s="7">
        <v>1</v>
      </c>
      <c r="Q1039" s="7">
        <v>1</v>
      </c>
    </row>
    <row r="1040" spans="1:18" x14ac:dyDescent="0.55000000000000004">
      <c r="A1040" s="7">
        <v>41</v>
      </c>
      <c r="B1040" s="7">
        <v>1</v>
      </c>
      <c r="C1040" s="7">
        <f t="shared" si="42"/>
        <v>7</v>
      </c>
      <c r="D1040" s="7">
        <v>200.3</v>
      </c>
      <c r="E1040" s="7" t="s">
        <v>940</v>
      </c>
      <c r="G1040" s="7">
        <v>1</v>
      </c>
      <c r="I1040" s="7">
        <v>1</v>
      </c>
      <c r="P1040" s="7">
        <v>1</v>
      </c>
      <c r="Q1040" s="7">
        <v>1</v>
      </c>
    </row>
    <row r="1041" spans="1:20" x14ac:dyDescent="0.55000000000000004">
      <c r="A1041" s="7">
        <v>41</v>
      </c>
      <c r="B1041" s="7">
        <v>1</v>
      </c>
      <c r="C1041" s="7">
        <f t="shared" si="42"/>
        <v>8</v>
      </c>
      <c r="D1041" s="7">
        <v>174.6</v>
      </c>
      <c r="E1041" s="7" t="s">
        <v>939</v>
      </c>
      <c r="G1041" s="7">
        <v>1</v>
      </c>
      <c r="I1041" s="7">
        <v>1</v>
      </c>
    </row>
    <row r="1042" spans="1:20" x14ac:dyDescent="0.55000000000000004">
      <c r="A1042" s="7">
        <v>41</v>
      </c>
      <c r="B1042" s="7">
        <v>1</v>
      </c>
      <c r="C1042" s="7">
        <f t="shared" si="42"/>
        <v>9</v>
      </c>
      <c r="D1042" s="7">
        <v>149.80000000000001</v>
      </c>
      <c r="E1042" s="7" t="s">
        <v>938</v>
      </c>
      <c r="G1042" s="7">
        <v>1</v>
      </c>
      <c r="H1042" s="7">
        <v>1</v>
      </c>
      <c r="I1042" s="7">
        <v>1</v>
      </c>
      <c r="P1042" s="7">
        <v>1</v>
      </c>
      <c r="Q1042" s="7">
        <v>1</v>
      </c>
    </row>
    <row r="1043" spans="1:20" x14ac:dyDescent="0.55000000000000004">
      <c r="A1043" s="7">
        <v>41</v>
      </c>
      <c r="B1043" s="7">
        <v>1</v>
      </c>
      <c r="C1043" s="7">
        <f t="shared" si="42"/>
        <v>10</v>
      </c>
      <c r="D1043" s="7">
        <v>129.9</v>
      </c>
      <c r="E1043" s="7" t="s">
        <v>937</v>
      </c>
      <c r="G1043" s="7">
        <v>1</v>
      </c>
      <c r="I1043" s="7">
        <v>1</v>
      </c>
    </row>
    <row r="1044" spans="1:20" x14ac:dyDescent="0.55000000000000004">
      <c r="A1044" s="7">
        <v>41</v>
      </c>
      <c r="B1044" s="7">
        <v>1</v>
      </c>
      <c r="C1044" s="7">
        <f t="shared" si="42"/>
        <v>11</v>
      </c>
      <c r="D1044" s="7">
        <v>114.9</v>
      </c>
      <c r="E1044" s="7" t="s">
        <v>936</v>
      </c>
      <c r="G1044" s="7">
        <v>1</v>
      </c>
      <c r="I1044" s="7">
        <v>1</v>
      </c>
    </row>
    <row r="1045" spans="1:20" x14ac:dyDescent="0.55000000000000004">
      <c r="A1045" s="7">
        <v>41</v>
      </c>
      <c r="B1045" s="7">
        <v>1</v>
      </c>
      <c r="C1045" s="7">
        <f t="shared" si="42"/>
        <v>12</v>
      </c>
      <c r="D1045" s="7">
        <v>99.7</v>
      </c>
      <c r="E1045" s="7" t="s">
        <v>935</v>
      </c>
      <c r="G1045" s="7">
        <v>1</v>
      </c>
      <c r="H1045" s="7">
        <v>1</v>
      </c>
      <c r="I1045" s="7">
        <v>1</v>
      </c>
      <c r="P1045" s="7">
        <v>1</v>
      </c>
      <c r="Q1045" s="7">
        <v>1</v>
      </c>
    </row>
    <row r="1046" spans="1:20" x14ac:dyDescent="0.55000000000000004">
      <c r="A1046" s="7">
        <v>41</v>
      </c>
      <c r="B1046" s="7">
        <v>1</v>
      </c>
      <c r="C1046" s="7">
        <f t="shared" si="42"/>
        <v>13</v>
      </c>
      <c r="D1046" s="7">
        <v>84.9</v>
      </c>
      <c r="E1046" s="7" t="s">
        <v>934</v>
      </c>
      <c r="G1046" s="7">
        <v>1</v>
      </c>
      <c r="I1046" s="7">
        <v>1</v>
      </c>
    </row>
    <row r="1047" spans="1:20" x14ac:dyDescent="0.55000000000000004">
      <c r="A1047" s="7">
        <v>41</v>
      </c>
      <c r="B1047" s="7">
        <v>1</v>
      </c>
      <c r="C1047" s="7">
        <f t="shared" si="42"/>
        <v>14</v>
      </c>
      <c r="D1047" s="7">
        <v>70</v>
      </c>
      <c r="E1047" s="7" t="s">
        <v>933</v>
      </c>
      <c r="G1047" s="7">
        <v>1</v>
      </c>
      <c r="I1047" s="7">
        <v>1</v>
      </c>
    </row>
    <row r="1048" spans="1:20" x14ac:dyDescent="0.55000000000000004">
      <c r="A1048" s="7">
        <v>41</v>
      </c>
      <c r="B1048" s="7">
        <v>1</v>
      </c>
      <c r="C1048" s="7">
        <f t="shared" si="42"/>
        <v>15</v>
      </c>
      <c r="D1048" s="7">
        <v>54.8</v>
      </c>
      <c r="E1048" s="7" t="s">
        <v>932</v>
      </c>
      <c r="G1048" s="7">
        <v>1</v>
      </c>
      <c r="H1048" s="7">
        <v>1</v>
      </c>
      <c r="I1048" s="7">
        <v>1</v>
      </c>
      <c r="J1048" s="7">
        <v>1</v>
      </c>
      <c r="P1048" s="7">
        <v>1</v>
      </c>
    </row>
    <row r="1049" spans="1:20" x14ac:dyDescent="0.55000000000000004">
      <c r="A1049" s="7">
        <v>41</v>
      </c>
      <c r="B1049" s="7">
        <v>1</v>
      </c>
      <c r="C1049" s="7">
        <f t="shared" si="42"/>
        <v>16</v>
      </c>
      <c r="D1049" s="7">
        <v>40</v>
      </c>
      <c r="E1049" s="7" t="s">
        <v>931</v>
      </c>
      <c r="G1049" s="7">
        <v>1</v>
      </c>
      <c r="I1049" s="7">
        <v>1</v>
      </c>
      <c r="J1049" s="7">
        <v>1</v>
      </c>
      <c r="P1049" s="7">
        <v>1</v>
      </c>
    </row>
    <row r="1050" spans="1:20" x14ac:dyDescent="0.55000000000000004">
      <c r="A1050" s="7">
        <v>41</v>
      </c>
      <c r="B1050" s="7">
        <v>1</v>
      </c>
      <c r="C1050" s="7">
        <f t="shared" si="42"/>
        <v>17</v>
      </c>
      <c r="D1050" s="7">
        <v>30.2</v>
      </c>
      <c r="E1050" s="7" t="s">
        <v>930</v>
      </c>
      <c r="G1050" s="7">
        <v>1</v>
      </c>
      <c r="H1050" s="7">
        <v>1</v>
      </c>
      <c r="I1050" s="7">
        <v>1</v>
      </c>
      <c r="J1050" s="7">
        <v>1</v>
      </c>
      <c r="P1050" s="7">
        <v>1</v>
      </c>
    </row>
    <row r="1051" spans="1:20" x14ac:dyDescent="0.55000000000000004">
      <c r="A1051" s="7">
        <v>41</v>
      </c>
      <c r="B1051" s="7">
        <v>1</v>
      </c>
      <c r="C1051" s="7">
        <f t="shared" si="42"/>
        <v>18</v>
      </c>
      <c r="D1051" s="7">
        <v>19.8</v>
      </c>
      <c r="E1051" s="7" t="s">
        <v>929</v>
      </c>
      <c r="G1051" s="7">
        <v>1</v>
      </c>
      <c r="I1051" s="7">
        <v>1</v>
      </c>
      <c r="J1051" s="7">
        <v>1</v>
      </c>
      <c r="P1051" s="7">
        <v>1</v>
      </c>
      <c r="Q1051" s="7">
        <v>1</v>
      </c>
    </row>
    <row r="1052" spans="1:20" x14ac:dyDescent="0.55000000000000004">
      <c r="A1052" s="7">
        <v>41</v>
      </c>
      <c r="B1052" s="7">
        <v>1</v>
      </c>
      <c r="C1052" s="7">
        <f t="shared" si="42"/>
        <v>19</v>
      </c>
      <c r="D1052" s="7">
        <v>9.8000000000000007</v>
      </c>
      <c r="E1052" s="7" t="s">
        <v>906</v>
      </c>
      <c r="G1052" s="7">
        <v>1</v>
      </c>
      <c r="H1052" s="7">
        <v>1</v>
      </c>
      <c r="I1052" s="7">
        <v>1</v>
      </c>
      <c r="J1052" s="7">
        <v>1</v>
      </c>
      <c r="P1052" s="7">
        <v>1</v>
      </c>
    </row>
    <row r="1053" spans="1:20" x14ac:dyDescent="0.55000000000000004">
      <c r="A1053" s="7">
        <v>41</v>
      </c>
      <c r="B1053" s="7">
        <v>1</v>
      </c>
      <c r="C1053" s="7">
        <f t="shared" si="42"/>
        <v>20</v>
      </c>
      <c r="D1053" s="7">
        <v>2.9</v>
      </c>
      <c r="E1053" s="7" t="s">
        <v>905</v>
      </c>
      <c r="G1053" s="7">
        <v>1</v>
      </c>
      <c r="I1053" s="7">
        <v>1</v>
      </c>
      <c r="J1053" s="7">
        <v>1</v>
      </c>
      <c r="P1053" s="7">
        <v>1</v>
      </c>
      <c r="Q1053" s="7">
        <v>1</v>
      </c>
      <c r="R1053" s="7">
        <v>1</v>
      </c>
    </row>
    <row r="1054" spans="1:20" x14ac:dyDescent="0.55000000000000004">
      <c r="A1054" s="7">
        <v>41</v>
      </c>
      <c r="B1054" s="7">
        <v>1</v>
      </c>
      <c r="C1054" s="7">
        <f t="shared" si="42"/>
        <v>21</v>
      </c>
      <c r="D1054" s="7">
        <v>2.9</v>
      </c>
      <c r="E1054" s="7" t="s">
        <v>905</v>
      </c>
    </row>
    <row r="1055" spans="1:20" x14ac:dyDescent="0.55000000000000004">
      <c r="A1055" s="7">
        <v>41</v>
      </c>
      <c r="B1055" s="7">
        <v>1</v>
      </c>
      <c r="C1055" s="7">
        <f>C1054+1</f>
        <v>22</v>
      </c>
      <c r="D1055" s="7">
        <v>2.9</v>
      </c>
      <c r="E1055" s="7" t="s">
        <v>905</v>
      </c>
    </row>
    <row r="1056" spans="1:20" x14ac:dyDescent="0.55000000000000004">
      <c r="A1056" s="7">
        <v>41</v>
      </c>
      <c r="B1056" s="7">
        <v>1</v>
      </c>
      <c r="C1056" s="7">
        <f t="shared" si="42"/>
        <v>23</v>
      </c>
      <c r="D1056" s="7">
        <v>2.9</v>
      </c>
      <c r="E1056" s="7" t="s">
        <v>905</v>
      </c>
      <c r="T1056" s="7" t="s">
        <v>948</v>
      </c>
    </row>
    <row r="1057" spans="1:16" x14ac:dyDescent="0.55000000000000004">
      <c r="A1057" s="7">
        <v>41</v>
      </c>
      <c r="B1057" s="7">
        <v>1</v>
      </c>
      <c r="C1057" s="7">
        <f t="shared" si="42"/>
        <v>24</v>
      </c>
      <c r="D1057" s="7">
        <v>2.9</v>
      </c>
      <c r="E1057" s="7" t="s">
        <v>905</v>
      </c>
    </row>
    <row r="1058" spans="1:16" x14ac:dyDescent="0.55000000000000004">
      <c r="A1058" s="7">
        <v>42</v>
      </c>
      <c r="B1058" s="7">
        <v>1</v>
      </c>
      <c r="C1058" s="7">
        <v>1</v>
      </c>
      <c r="D1058" s="7">
        <v>1200</v>
      </c>
      <c r="E1058" s="7" t="s">
        <v>927</v>
      </c>
      <c r="G1058" s="7">
        <v>1</v>
      </c>
      <c r="I1058" s="7">
        <v>1</v>
      </c>
    </row>
    <row r="1059" spans="1:16" x14ac:dyDescent="0.55000000000000004">
      <c r="A1059" s="7">
        <v>42</v>
      </c>
      <c r="B1059" s="7">
        <v>1</v>
      </c>
      <c r="C1059" s="7">
        <f>C1058+1</f>
        <v>2</v>
      </c>
      <c r="D1059" s="7">
        <v>1000</v>
      </c>
      <c r="E1059" s="7" t="s">
        <v>926</v>
      </c>
      <c r="G1059" s="7">
        <v>1</v>
      </c>
      <c r="I1059" s="7">
        <v>1</v>
      </c>
    </row>
    <row r="1060" spans="1:16" x14ac:dyDescent="0.55000000000000004">
      <c r="A1060" s="7">
        <v>42</v>
      </c>
      <c r="B1060" s="7">
        <v>1</v>
      </c>
      <c r="C1060" s="7">
        <f t="shared" ref="C1060:C1080" si="43">C1059+1</f>
        <v>3</v>
      </c>
      <c r="D1060" s="7">
        <v>750</v>
      </c>
      <c r="E1060" s="7" t="s">
        <v>925</v>
      </c>
      <c r="G1060" s="7">
        <v>1</v>
      </c>
      <c r="I1060" s="7">
        <v>1</v>
      </c>
    </row>
    <row r="1061" spans="1:16" x14ac:dyDescent="0.55000000000000004">
      <c r="A1061" s="7">
        <v>42</v>
      </c>
      <c r="B1061" s="7">
        <v>1</v>
      </c>
      <c r="C1061" s="7">
        <f t="shared" si="43"/>
        <v>4</v>
      </c>
      <c r="D1061" s="7">
        <v>500</v>
      </c>
      <c r="E1061" s="7" t="s">
        <v>924</v>
      </c>
      <c r="G1061" s="7">
        <v>1</v>
      </c>
      <c r="I1061" s="7">
        <v>1</v>
      </c>
      <c r="P1061" s="7">
        <v>1</v>
      </c>
    </row>
    <row r="1062" spans="1:16" x14ac:dyDescent="0.55000000000000004">
      <c r="A1062" s="7">
        <v>42</v>
      </c>
      <c r="B1062" s="7">
        <v>1</v>
      </c>
      <c r="C1062" s="7">
        <f t="shared" si="43"/>
        <v>5</v>
      </c>
      <c r="D1062" s="7">
        <v>300.5</v>
      </c>
      <c r="E1062" s="7" t="s">
        <v>923</v>
      </c>
      <c r="G1062" s="7">
        <v>1</v>
      </c>
      <c r="I1062" s="7">
        <v>1</v>
      </c>
    </row>
    <row r="1063" spans="1:16" x14ac:dyDescent="0.55000000000000004">
      <c r="A1063" s="7">
        <v>42</v>
      </c>
      <c r="B1063" s="7">
        <v>1</v>
      </c>
      <c r="C1063" s="7">
        <f t="shared" si="43"/>
        <v>6</v>
      </c>
      <c r="D1063" s="7">
        <v>249</v>
      </c>
      <c r="E1063" s="7" t="s">
        <v>922</v>
      </c>
      <c r="G1063" s="7">
        <v>1</v>
      </c>
      <c r="I1063" s="7">
        <v>1</v>
      </c>
      <c r="P1063" s="7">
        <v>1</v>
      </c>
    </row>
    <row r="1064" spans="1:16" x14ac:dyDescent="0.55000000000000004">
      <c r="A1064" s="7">
        <v>42</v>
      </c>
      <c r="B1064" s="7">
        <v>1</v>
      </c>
      <c r="C1064" s="7">
        <f t="shared" si="43"/>
        <v>7</v>
      </c>
      <c r="D1064" s="7">
        <v>200</v>
      </c>
      <c r="E1064" s="7" t="s">
        <v>921</v>
      </c>
      <c r="G1064" s="7">
        <v>1</v>
      </c>
      <c r="I1064" s="7">
        <v>1</v>
      </c>
    </row>
    <row r="1065" spans="1:16" x14ac:dyDescent="0.55000000000000004">
      <c r="A1065" s="7">
        <v>42</v>
      </c>
      <c r="B1065" s="7">
        <v>1</v>
      </c>
      <c r="C1065" s="7">
        <f t="shared" si="43"/>
        <v>8</v>
      </c>
      <c r="D1065" s="7">
        <v>174</v>
      </c>
      <c r="E1065" s="7" t="s">
        <v>920</v>
      </c>
      <c r="G1065" s="7">
        <v>1</v>
      </c>
      <c r="I1065" s="7">
        <v>1</v>
      </c>
    </row>
    <row r="1066" spans="1:16" x14ac:dyDescent="0.55000000000000004">
      <c r="A1066" s="7">
        <v>42</v>
      </c>
      <c r="B1066" s="7">
        <v>1</v>
      </c>
      <c r="C1066" s="7">
        <f t="shared" si="43"/>
        <v>9</v>
      </c>
      <c r="D1066" s="7">
        <v>150</v>
      </c>
      <c r="E1066" s="7" t="s">
        <v>919</v>
      </c>
      <c r="G1066" s="7">
        <v>1</v>
      </c>
      <c r="I1066" s="7">
        <v>1</v>
      </c>
      <c r="P1066" s="7">
        <v>1</v>
      </c>
    </row>
    <row r="1067" spans="1:16" x14ac:dyDescent="0.55000000000000004">
      <c r="A1067" s="7">
        <v>42</v>
      </c>
      <c r="B1067" s="7">
        <v>1</v>
      </c>
      <c r="C1067" s="7">
        <f t="shared" si="43"/>
        <v>10</v>
      </c>
      <c r="D1067" s="7">
        <v>130</v>
      </c>
      <c r="E1067" s="7" t="s">
        <v>918</v>
      </c>
      <c r="G1067" s="7">
        <v>1</v>
      </c>
      <c r="I1067" s="7">
        <v>1</v>
      </c>
    </row>
    <row r="1068" spans="1:16" x14ac:dyDescent="0.55000000000000004">
      <c r="A1068" s="7">
        <v>42</v>
      </c>
      <c r="B1068" s="7">
        <v>1</v>
      </c>
      <c r="C1068" s="7">
        <f t="shared" si="43"/>
        <v>11</v>
      </c>
      <c r="D1068" s="7">
        <v>115</v>
      </c>
      <c r="E1068" s="7" t="s">
        <v>917</v>
      </c>
      <c r="G1068" s="7">
        <v>1</v>
      </c>
      <c r="I1068" s="7">
        <v>1</v>
      </c>
    </row>
    <row r="1069" spans="1:16" x14ac:dyDescent="0.55000000000000004">
      <c r="A1069" s="7">
        <v>42</v>
      </c>
      <c r="B1069" s="7">
        <v>1</v>
      </c>
      <c r="C1069" s="7">
        <f t="shared" si="43"/>
        <v>12</v>
      </c>
      <c r="D1069" s="7">
        <v>100</v>
      </c>
      <c r="E1069" s="7" t="s">
        <v>916</v>
      </c>
      <c r="G1069" s="7">
        <v>1</v>
      </c>
      <c r="I1069" s="7">
        <v>1</v>
      </c>
      <c r="P1069" s="7">
        <v>1</v>
      </c>
    </row>
    <row r="1070" spans="1:16" x14ac:dyDescent="0.55000000000000004">
      <c r="A1070" s="7">
        <v>42</v>
      </c>
      <c r="B1070" s="7">
        <v>1</v>
      </c>
      <c r="C1070" s="7">
        <f t="shared" si="43"/>
        <v>13</v>
      </c>
      <c r="D1070" s="7">
        <v>85</v>
      </c>
      <c r="E1070" s="7" t="s">
        <v>915</v>
      </c>
      <c r="G1070" s="7">
        <v>1</v>
      </c>
      <c r="I1070" s="7">
        <v>1</v>
      </c>
    </row>
    <row r="1071" spans="1:16" x14ac:dyDescent="0.55000000000000004">
      <c r="A1071" s="7">
        <v>42</v>
      </c>
      <c r="B1071" s="7">
        <v>1</v>
      </c>
      <c r="C1071" s="7">
        <f t="shared" si="43"/>
        <v>14</v>
      </c>
      <c r="D1071" s="7">
        <v>70</v>
      </c>
      <c r="E1071" s="7" t="s">
        <v>914</v>
      </c>
      <c r="G1071" s="7">
        <v>1</v>
      </c>
      <c r="I1071" s="7">
        <v>1</v>
      </c>
      <c r="P1071" s="7">
        <v>1</v>
      </c>
    </row>
    <row r="1072" spans="1:16" x14ac:dyDescent="0.55000000000000004">
      <c r="A1072" s="7">
        <v>42</v>
      </c>
      <c r="B1072" s="7">
        <v>1</v>
      </c>
      <c r="C1072" s="7">
        <f t="shared" si="43"/>
        <v>15</v>
      </c>
      <c r="D1072" s="7">
        <v>55</v>
      </c>
      <c r="E1072" s="7" t="s">
        <v>913</v>
      </c>
      <c r="G1072" s="7">
        <v>1</v>
      </c>
      <c r="H1072" s="7">
        <v>1</v>
      </c>
      <c r="I1072" s="7">
        <v>1</v>
      </c>
      <c r="J1072" s="7">
        <v>1</v>
      </c>
      <c r="P1072" s="7">
        <v>1</v>
      </c>
    </row>
    <row r="1073" spans="1:18" x14ac:dyDescent="0.55000000000000004">
      <c r="A1073" s="7">
        <v>42</v>
      </c>
      <c r="B1073" s="7">
        <v>1</v>
      </c>
      <c r="C1073" s="7">
        <f t="shared" si="43"/>
        <v>16</v>
      </c>
      <c r="D1073" s="7">
        <v>39</v>
      </c>
      <c r="E1073" s="7" t="s">
        <v>912</v>
      </c>
      <c r="G1073" s="7">
        <v>1</v>
      </c>
      <c r="H1073" s="7">
        <v>1</v>
      </c>
      <c r="I1073" s="7">
        <v>1</v>
      </c>
      <c r="J1073" s="7">
        <v>1</v>
      </c>
      <c r="P1073" s="7">
        <v>1</v>
      </c>
    </row>
    <row r="1074" spans="1:18" x14ac:dyDescent="0.55000000000000004">
      <c r="A1074" s="7">
        <v>42</v>
      </c>
      <c r="B1074" s="7">
        <v>1</v>
      </c>
      <c r="C1074" s="7">
        <f t="shared" si="43"/>
        <v>17</v>
      </c>
      <c r="D1074" s="7">
        <v>30</v>
      </c>
      <c r="E1074" s="7" t="s">
        <v>911</v>
      </c>
      <c r="G1074" s="7">
        <v>1</v>
      </c>
      <c r="H1074" s="7">
        <v>1</v>
      </c>
      <c r="I1074" s="7">
        <v>1</v>
      </c>
      <c r="J1074" s="7">
        <v>1</v>
      </c>
      <c r="P1074" s="7">
        <v>1</v>
      </c>
    </row>
    <row r="1075" spans="1:18" x14ac:dyDescent="0.55000000000000004">
      <c r="A1075" s="7">
        <v>42</v>
      </c>
      <c r="B1075" s="7">
        <v>1</v>
      </c>
      <c r="C1075" s="7">
        <f t="shared" si="43"/>
        <v>18</v>
      </c>
      <c r="D1075" s="7">
        <v>20</v>
      </c>
      <c r="E1075" s="7" t="s">
        <v>910</v>
      </c>
      <c r="G1075" s="7">
        <v>1</v>
      </c>
      <c r="H1075" s="7">
        <v>1</v>
      </c>
      <c r="I1075" s="7">
        <v>1</v>
      </c>
      <c r="J1075" s="7">
        <v>1</v>
      </c>
      <c r="P1075" s="7">
        <v>1</v>
      </c>
    </row>
    <row r="1076" spans="1:18" x14ac:dyDescent="0.55000000000000004">
      <c r="A1076" s="7">
        <v>42</v>
      </c>
      <c r="B1076" s="7">
        <v>1</v>
      </c>
      <c r="C1076" s="7">
        <f t="shared" si="43"/>
        <v>19</v>
      </c>
      <c r="D1076" s="7">
        <v>9</v>
      </c>
      <c r="E1076" s="7" t="s">
        <v>909</v>
      </c>
      <c r="G1076" s="7">
        <v>1</v>
      </c>
      <c r="H1076" s="7">
        <v>1</v>
      </c>
      <c r="I1076" s="7">
        <v>1</v>
      </c>
      <c r="J1076" s="7">
        <v>1</v>
      </c>
      <c r="P1076" s="7">
        <v>1</v>
      </c>
    </row>
    <row r="1077" spans="1:18" x14ac:dyDescent="0.55000000000000004">
      <c r="A1077" s="7">
        <v>42</v>
      </c>
      <c r="B1077" s="7">
        <v>1</v>
      </c>
      <c r="C1077" s="7">
        <f t="shared" si="43"/>
        <v>20</v>
      </c>
      <c r="D1077" s="7">
        <v>3.8</v>
      </c>
      <c r="E1077" s="7" t="s">
        <v>908</v>
      </c>
      <c r="G1077" s="7">
        <v>1</v>
      </c>
      <c r="I1077" s="7">
        <v>1</v>
      </c>
      <c r="J1077" s="7">
        <v>1</v>
      </c>
      <c r="P1077" s="7">
        <v>1</v>
      </c>
      <c r="Q1077" s="7">
        <v>1</v>
      </c>
      <c r="R1077" s="7">
        <v>1</v>
      </c>
    </row>
    <row r="1078" spans="1:18" x14ac:dyDescent="0.55000000000000004">
      <c r="A1078" s="7">
        <v>42</v>
      </c>
      <c r="B1078" s="7">
        <v>1</v>
      </c>
      <c r="C1078" s="7">
        <f t="shared" si="43"/>
        <v>21</v>
      </c>
      <c r="D1078" s="7">
        <v>3.8</v>
      </c>
      <c r="E1078" s="7" t="s">
        <v>908</v>
      </c>
    </row>
    <row r="1079" spans="1:18" x14ac:dyDescent="0.55000000000000004">
      <c r="A1079" s="7">
        <v>42</v>
      </c>
      <c r="B1079" s="7">
        <v>1</v>
      </c>
      <c r="C1079" s="7">
        <f t="shared" si="43"/>
        <v>22</v>
      </c>
      <c r="D1079" s="7">
        <v>3.8</v>
      </c>
      <c r="E1079" s="7" t="s">
        <v>908</v>
      </c>
    </row>
    <row r="1080" spans="1:18" x14ac:dyDescent="0.55000000000000004">
      <c r="A1080" s="7">
        <v>42</v>
      </c>
      <c r="B1080" s="7">
        <v>1</v>
      </c>
      <c r="C1080" s="7">
        <f t="shared" si="43"/>
        <v>23</v>
      </c>
      <c r="D1080" s="7">
        <v>3.8</v>
      </c>
      <c r="E1080" s="7" t="s">
        <v>908</v>
      </c>
    </row>
    <row r="1081" spans="1:18" x14ac:dyDescent="0.55000000000000004">
      <c r="A1081" s="7">
        <v>42</v>
      </c>
      <c r="B1081" s="7">
        <v>1</v>
      </c>
      <c r="C1081" s="7">
        <f>C1080+1</f>
        <v>24</v>
      </c>
      <c r="D1081" s="7">
        <v>3.8</v>
      </c>
      <c r="E1081" s="7" t="s">
        <v>908</v>
      </c>
    </row>
    <row r="1082" spans="1:18" x14ac:dyDescent="0.55000000000000004">
      <c r="A1082" s="7">
        <v>43</v>
      </c>
      <c r="B1082" s="7">
        <v>1</v>
      </c>
      <c r="C1082" s="7">
        <v>1</v>
      </c>
      <c r="D1082" s="7">
        <v>1200</v>
      </c>
      <c r="E1082" s="7" t="s">
        <v>967</v>
      </c>
      <c r="G1082" s="7">
        <v>1</v>
      </c>
      <c r="I1082" s="7">
        <v>1</v>
      </c>
      <c r="Q1082" s="7">
        <v>1</v>
      </c>
    </row>
    <row r="1083" spans="1:18" x14ac:dyDescent="0.55000000000000004">
      <c r="A1083" s="7">
        <v>43</v>
      </c>
      <c r="B1083" s="7">
        <v>1</v>
      </c>
      <c r="C1083" s="7">
        <f>C1082+1</f>
        <v>2</v>
      </c>
      <c r="D1083" s="7">
        <v>1000.7</v>
      </c>
      <c r="E1083" s="7" t="s">
        <v>966</v>
      </c>
      <c r="G1083" s="7">
        <v>1</v>
      </c>
      <c r="I1083" s="7">
        <v>1</v>
      </c>
      <c r="Q1083" s="7">
        <v>1</v>
      </c>
    </row>
    <row r="1084" spans="1:18" x14ac:dyDescent="0.55000000000000004">
      <c r="A1084" s="7">
        <v>43</v>
      </c>
      <c r="B1084" s="7">
        <v>1</v>
      </c>
      <c r="C1084" s="7">
        <f t="shared" ref="C1084:C1105" si="44">C1083+1</f>
        <v>3</v>
      </c>
      <c r="D1084" s="7">
        <v>759.5</v>
      </c>
      <c r="E1084" s="7" t="s">
        <v>965</v>
      </c>
      <c r="G1084" s="7">
        <v>1</v>
      </c>
      <c r="I1084" s="7">
        <v>1</v>
      </c>
    </row>
    <row r="1085" spans="1:18" x14ac:dyDescent="0.55000000000000004">
      <c r="A1085" s="7">
        <v>43</v>
      </c>
      <c r="B1085" s="7">
        <v>1</v>
      </c>
      <c r="C1085" s="7">
        <f t="shared" si="44"/>
        <v>4</v>
      </c>
      <c r="D1085" s="7">
        <v>499.8</v>
      </c>
      <c r="E1085" s="7" t="s">
        <v>964</v>
      </c>
      <c r="G1085" s="7">
        <v>1</v>
      </c>
      <c r="I1085" s="7">
        <v>1</v>
      </c>
      <c r="Q1085" s="7">
        <v>1</v>
      </c>
    </row>
    <row r="1086" spans="1:18" x14ac:dyDescent="0.55000000000000004">
      <c r="A1086" s="7">
        <v>43</v>
      </c>
      <c r="B1086" s="7">
        <v>1</v>
      </c>
      <c r="C1086" s="7">
        <f t="shared" si="44"/>
        <v>5</v>
      </c>
      <c r="D1086" s="7">
        <v>300</v>
      </c>
      <c r="E1086" s="7" t="s">
        <v>963</v>
      </c>
      <c r="G1086" s="7">
        <v>1</v>
      </c>
      <c r="I1086" s="7">
        <v>1</v>
      </c>
      <c r="Q1086" s="7">
        <v>1</v>
      </c>
    </row>
    <row r="1087" spans="1:18" x14ac:dyDescent="0.55000000000000004">
      <c r="A1087" s="7">
        <v>43</v>
      </c>
      <c r="B1087" s="7">
        <v>1</v>
      </c>
      <c r="C1087" s="7">
        <f t="shared" si="44"/>
        <v>6</v>
      </c>
      <c r="D1087" s="7">
        <v>250</v>
      </c>
      <c r="E1087" s="7" t="s">
        <v>962</v>
      </c>
      <c r="G1087" s="7">
        <v>1</v>
      </c>
      <c r="I1087" s="7">
        <v>1</v>
      </c>
      <c r="Q1087" s="7">
        <v>1</v>
      </c>
    </row>
    <row r="1088" spans="1:18" x14ac:dyDescent="0.55000000000000004">
      <c r="A1088" s="7">
        <v>43</v>
      </c>
      <c r="B1088" s="7">
        <v>1</v>
      </c>
      <c r="C1088" s="7">
        <f t="shared" si="44"/>
        <v>7</v>
      </c>
      <c r="D1088" s="7">
        <v>199.8</v>
      </c>
      <c r="E1088" s="7" t="s">
        <v>961</v>
      </c>
      <c r="G1088" s="7">
        <v>1</v>
      </c>
      <c r="I1088" s="7">
        <v>1</v>
      </c>
      <c r="P1088" s="7">
        <v>1</v>
      </c>
      <c r="Q1088" s="7">
        <v>1</v>
      </c>
    </row>
    <row r="1089" spans="1:18" x14ac:dyDescent="0.55000000000000004">
      <c r="A1089" s="7">
        <v>43</v>
      </c>
      <c r="B1089" s="7">
        <v>1</v>
      </c>
      <c r="C1089" s="7">
        <f t="shared" si="44"/>
        <v>8</v>
      </c>
      <c r="D1089" s="7">
        <v>174.4</v>
      </c>
      <c r="E1089" s="7" t="s">
        <v>960</v>
      </c>
      <c r="G1089" s="7">
        <v>1</v>
      </c>
      <c r="I1089" s="7">
        <v>1</v>
      </c>
    </row>
    <row r="1090" spans="1:18" x14ac:dyDescent="0.55000000000000004">
      <c r="A1090" s="7">
        <v>43</v>
      </c>
      <c r="B1090" s="7">
        <v>1</v>
      </c>
      <c r="C1090" s="7">
        <f t="shared" si="44"/>
        <v>9</v>
      </c>
      <c r="D1090" s="7">
        <v>149.69999999999999</v>
      </c>
      <c r="E1090" s="7" t="s">
        <v>959</v>
      </c>
      <c r="G1090" s="7">
        <v>1</v>
      </c>
      <c r="I1090" s="7">
        <v>1</v>
      </c>
      <c r="P1090" s="7">
        <v>1</v>
      </c>
      <c r="Q1090" s="7">
        <v>1</v>
      </c>
    </row>
    <row r="1091" spans="1:18" x14ac:dyDescent="0.55000000000000004">
      <c r="A1091" s="7">
        <v>43</v>
      </c>
      <c r="B1091" s="7">
        <v>1</v>
      </c>
      <c r="C1091" s="7">
        <f t="shared" si="44"/>
        <v>10</v>
      </c>
      <c r="D1091" s="7">
        <v>129.9</v>
      </c>
      <c r="E1091" s="7" t="s">
        <v>849</v>
      </c>
      <c r="G1091" s="7">
        <v>1</v>
      </c>
      <c r="I1091" s="7">
        <v>1</v>
      </c>
    </row>
    <row r="1092" spans="1:18" x14ac:dyDescent="0.55000000000000004">
      <c r="A1092" s="7">
        <v>43</v>
      </c>
      <c r="B1092" s="7">
        <v>1</v>
      </c>
      <c r="C1092" s="7">
        <f t="shared" si="44"/>
        <v>11</v>
      </c>
      <c r="D1092" s="7">
        <v>115</v>
      </c>
      <c r="E1092" s="7" t="s">
        <v>958</v>
      </c>
      <c r="G1092" s="7">
        <v>1</v>
      </c>
      <c r="I1092" s="7">
        <v>1</v>
      </c>
    </row>
    <row r="1093" spans="1:18" x14ac:dyDescent="0.55000000000000004">
      <c r="A1093" s="7">
        <v>43</v>
      </c>
      <c r="B1093" s="7">
        <v>1</v>
      </c>
      <c r="C1093" s="7">
        <f t="shared" si="44"/>
        <v>12</v>
      </c>
      <c r="D1093" s="7">
        <v>100</v>
      </c>
      <c r="E1093" s="7" t="s">
        <v>957</v>
      </c>
      <c r="G1093" s="7">
        <v>1</v>
      </c>
      <c r="I1093" s="7">
        <v>1</v>
      </c>
      <c r="P1093" s="7">
        <v>1</v>
      </c>
      <c r="Q1093" s="7">
        <v>1</v>
      </c>
    </row>
    <row r="1094" spans="1:18" x14ac:dyDescent="0.55000000000000004">
      <c r="A1094" s="7">
        <v>43</v>
      </c>
      <c r="B1094" s="7">
        <v>1</v>
      </c>
      <c r="C1094" s="7">
        <f t="shared" si="44"/>
        <v>13</v>
      </c>
      <c r="D1094" s="7">
        <v>85</v>
      </c>
      <c r="E1094" s="7" t="s">
        <v>956</v>
      </c>
      <c r="G1094" s="7">
        <v>1</v>
      </c>
      <c r="I1094" s="7">
        <v>1</v>
      </c>
    </row>
    <row r="1095" spans="1:18" x14ac:dyDescent="0.55000000000000004">
      <c r="A1095" s="7">
        <v>43</v>
      </c>
      <c r="B1095" s="7">
        <v>1</v>
      </c>
      <c r="C1095" s="7">
        <f t="shared" si="44"/>
        <v>14</v>
      </c>
      <c r="D1095" s="7">
        <v>70</v>
      </c>
      <c r="E1095" s="7" t="s">
        <v>955</v>
      </c>
      <c r="G1095" s="7">
        <v>1</v>
      </c>
      <c r="I1095" s="7">
        <v>1</v>
      </c>
      <c r="P1095" s="7">
        <v>1</v>
      </c>
      <c r="Q1095" s="7">
        <v>1</v>
      </c>
    </row>
    <row r="1096" spans="1:18" x14ac:dyDescent="0.55000000000000004">
      <c r="A1096" s="7">
        <v>43</v>
      </c>
      <c r="B1096" s="7">
        <v>1</v>
      </c>
      <c r="C1096" s="7">
        <f t="shared" si="44"/>
        <v>15</v>
      </c>
      <c r="D1096" s="7">
        <v>55.2</v>
      </c>
      <c r="E1096" s="7" t="s">
        <v>954</v>
      </c>
      <c r="G1096" s="7">
        <v>1</v>
      </c>
      <c r="H1096" s="7">
        <v>1</v>
      </c>
      <c r="I1096" s="7">
        <v>1</v>
      </c>
      <c r="J1096" s="7">
        <v>1</v>
      </c>
      <c r="P1096" s="7">
        <v>1</v>
      </c>
    </row>
    <row r="1097" spans="1:18" x14ac:dyDescent="0.55000000000000004">
      <c r="A1097" s="7">
        <v>43</v>
      </c>
      <c r="B1097" s="7">
        <v>1</v>
      </c>
      <c r="C1097" s="7">
        <f t="shared" si="44"/>
        <v>16</v>
      </c>
      <c r="D1097" s="7">
        <v>40</v>
      </c>
      <c r="E1097" s="7" t="s">
        <v>953</v>
      </c>
      <c r="G1097" s="7">
        <v>1</v>
      </c>
      <c r="I1097" s="7">
        <v>1</v>
      </c>
      <c r="J1097" s="7">
        <v>1</v>
      </c>
      <c r="P1097" s="7">
        <v>1</v>
      </c>
      <c r="Q1097" s="7">
        <v>1</v>
      </c>
    </row>
    <row r="1098" spans="1:18" x14ac:dyDescent="0.55000000000000004">
      <c r="A1098" s="7">
        <v>43</v>
      </c>
      <c r="B1098" s="7">
        <v>1</v>
      </c>
      <c r="C1098" s="7">
        <f t="shared" si="44"/>
        <v>17</v>
      </c>
      <c r="D1098" s="7">
        <v>30</v>
      </c>
      <c r="E1098" s="7" t="s">
        <v>952</v>
      </c>
      <c r="G1098" s="7">
        <v>1</v>
      </c>
      <c r="H1098" s="7">
        <v>1</v>
      </c>
      <c r="I1098" s="7">
        <v>1</v>
      </c>
      <c r="J1098" s="7">
        <v>1</v>
      </c>
      <c r="P1098" s="7">
        <v>1</v>
      </c>
    </row>
    <row r="1099" spans="1:18" x14ac:dyDescent="0.55000000000000004">
      <c r="A1099" s="7">
        <v>43</v>
      </c>
      <c r="B1099" s="7">
        <v>1</v>
      </c>
      <c r="C1099" s="7">
        <f t="shared" si="44"/>
        <v>18</v>
      </c>
      <c r="D1099" s="7">
        <v>20</v>
      </c>
      <c r="E1099" s="7" t="s">
        <v>951</v>
      </c>
      <c r="G1099" s="7">
        <v>1</v>
      </c>
      <c r="I1099" s="7">
        <v>1</v>
      </c>
      <c r="J1099" s="7">
        <v>1</v>
      </c>
      <c r="P1099" s="7">
        <v>1</v>
      </c>
      <c r="Q1099" s="7">
        <v>1</v>
      </c>
    </row>
    <row r="1100" spans="1:18" x14ac:dyDescent="0.55000000000000004">
      <c r="A1100" s="7">
        <v>43</v>
      </c>
      <c r="B1100" s="7">
        <v>1</v>
      </c>
      <c r="C1100" s="7">
        <f t="shared" si="44"/>
        <v>19</v>
      </c>
      <c r="D1100" s="7">
        <v>9.9</v>
      </c>
      <c r="E1100" s="7" t="s">
        <v>950</v>
      </c>
      <c r="G1100" s="7">
        <v>1</v>
      </c>
      <c r="H1100" s="7">
        <v>1</v>
      </c>
      <c r="I1100" s="7">
        <v>1</v>
      </c>
      <c r="J1100" s="7">
        <v>1</v>
      </c>
      <c r="P1100" s="7">
        <v>1</v>
      </c>
    </row>
    <row r="1101" spans="1:18" x14ac:dyDescent="0.55000000000000004">
      <c r="A1101" s="7">
        <v>43</v>
      </c>
      <c r="B1101" s="7">
        <v>1</v>
      </c>
      <c r="C1101" s="7">
        <f t="shared" si="44"/>
        <v>20</v>
      </c>
      <c r="D1101" s="7">
        <v>2.9</v>
      </c>
      <c r="E1101" s="7" t="s">
        <v>949</v>
      </c>
      <c r="G1101" s="7">
        <v>1</v>
      </c>
      <c r="I1101" s="7">
        <v>1</v>
      </c>
      <c r="J1101" s="7">
        <v>1</v>
      </c>
      <c r="P1101" s="7">
        <v>1</v>
      </c>
      <c r="Q1101" s="7">
        <v>1</v>
      </c>
      <c r="R1101" s="7">
        <v>1</v>
      </c>
    </row>
    <row r="1102" spans="1:18" x14ac:dyDescent="0.55000000000000004">
      <c r="A1102" s="7">
        <v>43</v>
      </c>
      <c r="B1102" s="7">
        <v>1</v>
      </c>
      <c r="C1102" s="7">
        <f t="shared" si="44"/>
        <v>21</v>
      </c>
      <c r="D1102" s="7">
        <v>2.9</v>
      </c>
    </row>
    <row r="1103" spans="1:18" x14ac:dyDescent="0.55000000000000004">
      <c r="A1103" s="7">
        <v>43</v>
      </c>
      <c r="B1103" s="7">
        <v>1</v>
      </c>
      <c r="C1103" s="7">
        <f t="shared" si="44"/>
        <v>22</v>
      </c>
      <c r="D1103" s="7">
        <v>2.9</v>
      </c>
    </row>
    <row r="1104" spans="1:18" x14ac:dyDescent="0.55000000000000004">
      <c r="A1104" s="7">
        <v>43</v>
      </c>
      <c r="B1104" s="7">
        <v>1</v>
      </c>
      <c r="C1104" s="7">
        <f t="shared" si="44"/>
        <v>23</v>
      </c>
      <c r="D1104" s="7">
        <v>2.9</v>
      </c>
    </row>
    <row r="1105" spans="1:10" x14ac:dyDescent="0.55000000000000004">
      <c r="A1105" s="7">
        <v>43</v>
      </c>
      <c r="B1105" s="7">
        <v>1</v>
      </c>
      <c r="C1105" s="7">
        <f t="shared" si="44"/>
        <v>24</v>
      </c>
      <c r="D1105" s="7">
        <v>2.9</v>
      </c>
    </row>
    <row r="1106" spans="1:10" x14ac:dyDescent="0.55000000000000004">
      <c r="A1106" s="7">
        <v>44</v>
      </c>
      <c r="B1106" s="7">
        <v>1</v>
      </c>
      <c r="C1106" s="7">
        <v>1</v>
      </c>
      <c r="D1106" s="7">
        <v>1200</v>
      </c>
      <c r="E1106" s="7" t="s">
        <v>986</v>
      </c>
      <c r="G1106" s="7">
        <v>1</v>
      </c>
      <c r="I1106" s="7">
        <v>1</v>
      </c>
    </row>
    <row r="1107" spans="1:10" x14ac:dyDescent="0.55000000000000004">
      <c r="A1107" s="7">
        <v>44</v>
      </c>
      <c r="B1107" s="7">
        <v>1</v>
      </c>
      <c r="C1107" s="7">
        <v>2</v>
      </c>
      <c r="D1107" s="7">
        <v>1000</v>
      </c>
      <c r="E1107" s="7" t="s">
        <v>1014</v>
      </c>
      <c r="G1107" s="7">
        <v>1</v>
      </c>
      <c r="I1107" s="7">
        <v>1</v>
      </c>
    </row>
    <row r="1108" spans="1:10" x14ac:dyDescent="0.55000000000000004">
      <c r="A1108" s="7">
        <v>44</v>
      </c>
      <c r="B1108" s="7">
        <v>1</v>
      </c>
      <c r="C1108" s="7">
        <v>3</v>
      </c>
      <c r="D1108" s="7">
        <v>751</v>
      </c>
      <c r="E1108" s="7" t="s">
        <v>985</v>
      </c>
      <c r="G1108" s="7">
        <v>1</v>
      </c>
      <c r="I1108" s="7">
        <v>1</v>
      </c>
    </row>
    <row r="1109" spans="1:10" x14ac:dyDescent="0.55000000000000004">
      <c r="A1109" s="7">
        <v>44</v>
      </c>
      <c r="B1109" s="7">
        <v>1</v>
      </c>
      <c r="C1109" s="7">
        <v>4</v>
      </c>
      <c r="D1109" s="7">
        <v>500</v>
      </c>
      <c r="E1109" s="7" t="s">
        <v>984</v>
      </c>
      <c r="G1109" s="7">
        <v>1</v>
      </c>
      <c r="I1109" s="7">
        <v>1</v>
      </c>
    </row>
    <row r="1110" spans="1:10" x14ac:dyDescent="0.55000000000000004">
      <c r="A1110" s="7">
        <v>44</v>
      </c>
      <c r="B1110" s="7">
        <v>1</v>
      </c>
      <c r="C1110" s="7">
        <v>5</v>
      </c>
      <c r="D1110" s="7">
        <v>300</v>
      </c>
      <c r="E1110" s="7" t="s">
        <v>983</v>
      </c>
      <c r="G1110" s="7">
        <v>1</v>
      </c>
      <c r="I1110" s="7">
        <v>1</v>
      </c>
    </row>
    <row r="1111" spans="1:10" x14ac:dyDescent="0.55000000000000004">
      <c r="A1111" s="7">
        <v>44</v>
      </c>
      <c r="B1111" s="7">
        <v>1</v>
      </c>
      <c r="C1111" s="7">
        <v>6</v>
      </c>
      <c r="D1111" s="7">
        <v>250</v>
      </c>
      <c r="E1111" s="7" t="s">
        <v>982</v>
      </c>
      <c r="G1111" s="7">
        <v>1</v>
      </c>
      <c r="I1111" s="7">
        <v>1</v>
      </c>
    </row>
    <row r="1112" spans="1:10" x14ac:dyDescent="0.55000000000000004">
      <c r="A1112" s="7">
        <v>44</v>
      </c>
      <c r="B1112" s="7">
        <v>1</v>
      </c>
      <c r="C1112" s="7">
        <v>7</v>
      </c>
      <c r="D1112" s="7">
        <v>200</v>
      </c>
      <c r="E1112" s="7" t="s">
        <v>981</v>
      </c>
      <c r="G1112" s="7">
        <v>1</v>
      </c>
      <c r="I1112" s="7">
        <v>1</v>
      </c>
    </row>
    <row r="1113" spans="1:10" x14ac:dyDescent="0.55000000000000004">
      <c r="A1113" s="7">
        <v>44</v>
      </c>
      <c r="B1113" s="7">
        <v>1</v>
      </c>
      <c r="C1113" s="7">
        <v>8</v>
      </c>
      <c r="D1113" s="7">
        <v>175</v>
      </c>
      <c r="E1113" s="7" t="s">
        <v>980</v>
      </c>
      <c r="G1113" s="7">
        <v>1</v>
      </c>
      <c r="I1113" s="7">
        <v>1</v>
      </c>
    </row>
    <row r="1114" spans="1:10" x14ac:dyDescent="0.55000000000000004">
      <c r="A1114" s="7">
        <v>44</v>
      </c>
      <c r="B1114" s="7">
        <v>1</v>
      </c>
      <c r="C1114" s="7">
        <v>9</v>
      </c>
      <c r="D1114" s="7">
        <v>150</v>
      </c>
      <c r="E1114" s="7" t="s">
        <v>979</v>
      </c>
      <c r="G1114" s="7">
        <v>1</v>
      </c>
      <c r="I1114" s="7">
        <v>1</v>
      </c>
    </row>
    <row r="1115" spans="1:10" x14ac:dyDescent="0.55000000000000004">
      <c r="A1115" s="7">
        <v>44</v>
      </c>
      <c r="B1115" s="7">
        <v>1</v>
      </c>
      <c r="C1115" s="7">
        <v>10</v>
      </c>
      <c r="D1115" s="7">
        <v>130</v>
      </c>
      <c r="E1115" s="7" t="s">
        <v>978</v>
      </c>
      <c r="G1115" s="7">
        <v>1</v>
      </c>
      <c r="I1115" s="7">
        <v>1</v>
      </c>
    </row>
    <row r="1116" spans="1:10" x14ac:dyDescent="0.55000000000000004">
      <c r="A1116" s="7">
        <v>44</v>
      </c>
      <c r="B1116" s="7">
        <v>1</v>
      </c>
      <c r="C1116" s="7">
        <v>11</v>
      </c>
      <c r="D1116" s="7">
        <v>115</v>
      </c>
      <c r="E1116" s="7" t="s">
        <v>977</v>
      </c>
      <c r="G1116" s="7">
        <v>1</v>
      </c>
      <c r="I1116" s="7">
        <v>1</v>
      </c>
    </row>
    <row r="1117" spans="1:10" x14ac:dyDescent="0.55000000000000004">
      <c r="A1117" s="7">
        <v>44</v>
      </c>
      <c r="B1117" s="7">
        <v>1</v>
      </c>
      <c r="C1117" s="7">
        <v>12</v>
      </c>
      <c r="D1117" s="7">
        <v>100</v>
      </c>
      <c r="E1117" s="7" t="s">
        <v>976</v>
      </c>
      <c r="G1117" s="7">
        <v>1</v>
      </c>
      <c r="I1117" s="7">
        <v>1</v>
      </c>
    </row>
    <row r="1118" spans="1:10" x14ac:dyDescent="0.55000000000000004">
      <c r="A1118" s="7">
        <v>44</v>
      </c>
      <c r="B1118" s="7">
        <v>1</v>
      </c>
      <c r="C1118" s="7">
        <v>13</v>
      </c>
      <c r="D1118" s="7">
        <v>85</v>
      </c>
      <c r="E1118" s="7" t="s">
        <v>975</v>
      </c>
      <c r="G1118" s="7">
        <v>1</v>
      </c>
      <c r="I1118" s="7">
        <v>1</v>
      </c>
    </row>
    <row r="1119" spans="1:10" x14ac:dyDescent="0.55000000000000004">
      <c r="A1119" s="7">
        <v>44</v>
      </c>
      <c r="B1119" s="7">
        <v>1</v>
      </c>
      <c r="C1119" s="7">
        <v>14</v>
      </c>
      <c r="D1119" s="7">
        <v>70</v>
      </c>
      <c r="E1119" s="7" t="s">
        <v>974</v>
      </c>
      <c r="G1119" s="7">
        <v>1</v>
      </c>
      <c r="I1119" s="7">
        <v>1</v>
      </c>
    </row>
    <row r="1120" spans="1:10" x14ac:dyDescent="0.55000000000000004">
      <c r="A1120" s="7">
        <v>44</v>
      </c>
      <c r="B1120" s="7">
        <v>1</v>
      </c>
      <c r="C1120" s="7">
        <v>15</v>
      </c>
      <c r="D1120" s="7">
        <v>55</v>
      </c>
      <c r="E1120" s="7" t="s">
        <v>973</v>
      </c>
      <c r="G1120" s="7">
        <v>1</v>
      </c>
      <c r="I1120" s="7">
        <v>1</v>
      </c>
      <c r="J1120" s="7">
        <v>1</v>
      </c>
    </row>
    <row r="1121" spans="1:18" x14ac:dyDescent="0.55000000000000004">
      <c r="A1121" s="7">
        <v>44</v>
      </c>
      <c r="B1121" s="7">
        <v>1</v>
      </c>
      <c r="C1121" s="7">
        <v>16</v>
      </c>
      <c r="D1121" s="7">
        <v>40</v>
      </c>
      <c r="E1121" s="7" t="s">
        <v>972</v>
      </c>
      <c r="G1121" s="7">
        <v>1</v>
      </c>
      <c r="I1121" s="7">
        <v>1</v>
      </c>
      <c r="J1121" s="7">
        <v>1</v>
      </c>
    </row>
    <row r="1122" spans="1:18" x14ac:dyDescent="0.55000000000000004">
      <c r="A1122" s="7">
        <v>44</v>
      </c>
      <c r="B1122" s="7">
        <v>1</v>
      </c>
      <c r="C1122" s="7">
        <v>17</v>
      </c>
      <c r="D1122" s="7">
        <v>30</v>
      </c>
      <c r="E1122" s="7" t="s">
        <v>971</v>
      </c>
      <c r="G1122" s="7">
        <v>1</v>
      </c>
      <c r="I1122" s="7">
        <v>1</v>
      </c>
      <c r="J1122" s="7">
        <v>1</v>
      </c>
    </row>
    <row r="1123" spans="1:18" x14ac:dyDescent="0.55000000000000004">
      <c r="A1123" s="7">
        <v>44</v>
      </c>
      <c r="B1123" s="7">
        <v>1</v>
      </c>
      <c r="C1123" s="7">
        <v>18</v>
      </c>
      <c r="D1123" s="7">
        <v>20</v>
      </c>
      <c r="E1123" s="7" t="s">
        <v>970</v>
      </c>
      <c r="G1123" s="7">
        <v>1</v>
      </c>
      <c r="I1123" s="7">
        <v>1</v>
      </c>
      <c r="J1123" s="7">
        <v>1</v>
      </c>
    </row>
    <row r="1124" spans="1:18" x14ac:dyDescent="0.55000000000000004">
      <c r="A1124" s="7">
        <v>44</v>
      </c>
      <c r="B1124" s="7">
        <v>1</v>
      </c>
      <c r="C1124" s="7">
        <v>19</v>
      </c>
      <c r="D1124" s="7">
        <v>10</v>
      </c>
      <c r="E1124" s="7" t="s">
        <v>969</v>
      </c>
      <c r="G1124" s="7">
        <v>1</v>
      </c>
      <c r="I1124" s="7">
        <v>1</v>
      </c>
      <c r="J1124" s="7">
        <v>1</v>
      </c>
    </row>
    <row r="1125" spans="1:18" x14ac:dyDescent="0.55000000000000004">
      <c r="A1125" s="7">
        <v>44</v>
      </c>
      <c r="B1125" s="7">
        <v>1</v>
      </c>
      <c r="C1125" s="7">
        <v>20</v>
      </c>
      <c r="D1125" s="7">
        <v>3</v>
      </c>
      <c r="E1125" s="7" t="s">
        <v>968</v>
      </c>
      <c r="G1125" s="7">
        <v>1</v>
      </c>
      <c r="I1125" s="7">
        <v>1</v>
      </c>
      <c r="J1125" s="7">
        <v>1</v>
      </c>
      <c r="P1125" s="7">
        <v>1</v>
      </c>
      <c r="Q1125" s="7">
        <v>1</v>
      </c>
      <c r="R1125" s="7">
        <v>1</v>
      </c>
    </row>
    <row r="1126" spans="1:18" x14ac:dyDescent="0.55000000000000004">
      <c r="A1126" s="7">
        <v>44</v>
      </c>
      <c r="B1126" s="7">
        <v>1</v>
      </c>
      <c r="C1126" s="7">
        <v>21</v>
      </c>
      <c r="D1126" s="7">
        <v>3</v>
      </c>
    </row>
    <row r="1127" spans="1:18" x14ac:dyDescent="0.55000000000000004">
      <c r="A1127" s="7">
        <v>44</v>
      </c>
      <c r="B1127" s="7">
        <v>1</v>
      </c>
      <c r="C1127" s="7">
        <v>22</v>
      </c>
      <c r="D1127" s="7">
        <v>3</v>
      </c>
    </row>
    <row r="1128" spans="1:18" x14ac:dyDescent="0.55000000000000004">
      <c r="A1128" s="7">
        <v>44</v>
      </c>
      <c r="B1128" s="7">
        <v>1</v>
      </c>
      <c r="C1128" s="7">
        <v>23</v>
      </c>
      <c r="D1128" s="7">
        <v>3</v>
      </c>
    </row>
    <row r="1129" spans="1:18" x14ac:dyDescent="0.55000000000000004">
      <c r="A1129" s="7">
        <v>44</v>
      </c>
      <c r="B1129" s="7">
        <v>1</v>
      </c>
      <c r="C1129" s="7">
        <v>24</v>
      </c>
      <c r="D1129" s="7">
        <v>3</v>
      </c>
    </row>
    <row r="1130" spans="1:18" x14ac:dyDescent="0.55000000000000004">
      <c r="A1130" s="7">
        <v>45</v>
      </c>
      <c r="B1130" s="7">
        <v>1</v>
      </c>
      <c r="C1130" s="7">
        <v>1</v>
      </c>
      <c r="D1130" s="7">
        <v>4050</v>
      </c>
      <c r="E1130" s="7" t="s">
        <v>1010</v>
      </c>
      <c r="G1130" s="7">
        <v>1</v>
      </c>
      <c r="I1130" s="7">
        <v>1</v>
      </c>
      <c r="O1130" s="7">
        <v>1</v>
      </c>
      <c r="P1130" s="7">
        <v>1</v>
      </c>
      <c r="Q1130" s="7">
        <v>1</v>
      </c>
    </row>
    <row r="1131" spans="1:18" x14ac:dyDescent="0.55000000000000004">
      <c r="A1131" s="7">
        <v>45</v>
      </c>
      <c r="B1131" s="7">
        <v>1</v>
      </c>
      <c r="C1131" s="7">
        <v>2</v>
      </c>
      <c r="D1131" s="7">
        <v>3000</v>
      </c>
      <c r="E1131" s="7" t="s">
        <v>1009</v>
      </c>
      <c r="G1131" s="7">
        <v>1</v>
      </c>
      <c r="I1131" s="7">
        <v>1</v>
      </c>
      <c r="O1131" s="7">
        <v>1</v>
      </c>
      <c r="P1131" s="7">
        <v>1</v>
      </c>
      <c r="Q1131" s="7">
        <v>1</v>
      </c>
    </row>
    <row r="1132" spans="1:18" x14ac:dyDescent="0.55000000000000004">
      <c r="A1132" s="7">
        <v>45</v>
      </c>
      <c r="B1132" s="7">
        <v>1</v>
      </c>
      <c r="C1132" s="7">
        <v>3</v>
      </c>
      <c r="D1132" s="7">
        <v>2500</v>
      </c>
      <c r="E1132" s="7" t="s">
        <v>1008</v>
      </c>
      <c r="G1132" s="7">
        <v>1</v>
      </c>
      <c r="I1132" s="7">
        <v>1</v>
      </c>
      <c r="P1132" s="7">
        <v>1</v>
      </c>
    </row>
    <row r="1133" spans="1:18" x14ac:dyDescent="0.55000000000000004">
      <c r="A1133" s="7">
        <v>45</v>
      </c>
      <c r="B1133" s="7">
        <v>1</v>
      </c>
      <c r="C1133" s="7">
        <v>4</v>
      </c>
      <c r="D1133" s="7">
        <v>2000</v>
      </c>
      <c r="E1133" s="7" t="s">
        <v>1007</v>
      </c>
      <c r="G1133" s="7">
        <v>1</v>
      </c>
      <c r="I1133" s="7">
        <v>1</v>
      </c>
      <c r="O1133" s="7">
        <v>1</v>
      </c>
      <c r="P1133" s="7">
        <v>1</v>
      </c>
      <c r="Q1133" s="7">
        <v>1</v>
      </c>
    </row>
    <row r="1134" spans="1:18" x14ac:dyDescent="0.55000000000000004">
      <c r="A1134" s="7">
        <v>45</v>
      </c>
      <c r="B1134" s="7">
        <v>1</v>
      </c>
      <c r="C1134" s="7">
        <v>5</v>
      </c>
      <c r="D1134" s="7">
        <v>1500</v>
      </c>
      <c r="E1134" s="7" t="s">
        <v>1006</v>
      </c>
      <c r="G1134" s="7">
        <v>1</v>
      </c>
      <c r="I1134" s="7">
        <v>1</v>
      </c>
      <c r="P1134" s="7">
        <v>1</v>
      </c>
      <c r="Q1134" s="7">
        <v>1</v>
      </c>
    </row>
    <row r="1135" spans="1:18" x14ac:dyDescent="0.55000000000000004">
      <c r="A1135" s="7">
        <v>45</v>
      </c>
      <c r="B1135" s="7">
        <v>1</v>
      </c>
      <c r="C1135" s="7">
        <v>6</v>
      </c>
      <c r="D1135" s="7">
        <v>1000</v>
      </c>
      <c r="E1135" s="7" t="s">
        <v>1005</v>
      </c>
      <c r="G1135" s="7">
        <v>1</v>
      </c>
      <c r="I1135" s="7">
        <v>1</v>
      </c>
      <c r="O1135" s="7">
        <v>1</v>
      </c>
      <c r="P1135" s="7">
        <v>1</v>
      </c>
      <c r="Q1135" s="7">
        <v>1</v>
      </c>
    </row>
    <row r="1136" spans="1:18" x14ac:dyDescent="0.55000000000000004">
      <c r="A1136" s="7">
        <v>45</v>
      </c>
      <c r="B1136" s="7">
        <v>1</v>
      </c>
      <c r="C1136" s="7">
        <v>7</v>
      </c>
      <c r="D1136" s="7">
        <v>750</v>
      </c>
      <c r="E1136" s="7" t="s">
        <v>1004</v>
      </c>
      <c r="G1136" s="7">
        <v>1</v>
      </c>
      <c r="I1136" s="7">
        <v>1</v>
      </c>
      <c r="P1136" s="7">
        <v>1</v>
      </c>
      <c r="Q1136" s="7">
        <v>1</v>
      </c>
    </row>
    <row r="1137" spans="1:20" x14ac:dyDescent="0.55000000000000004">
      <c r="A1137" s="7">
        <v>45</v>
      </c>
      <c r="B1137" s="7">
        <v>1</v>
      </c>
      <c r="C1137" s="7">
        <v>8</v>
      </c>
      <c r="D1137" s="7">
        <v>500</v>
      </c>
      <c r="E1137" s="7" t="s">
        <v>1003</v>
      </c>
      <c r="G1137" s="7">
        <v>1</v>
      </c>
      <c r="I1137" s="7">
        <v>1</v>
      </c>
      <c r="O1137" s="7">
        <v>1</v>
      </c>
      <c r="P1137" s="7">
        <v>1</v>
      </c>
      <c r="Q1137" s="7">
        <v>1</v>
      </c>
    </row>
    <row r="1138" spans="1:20" x14ac:dyDescent="0.55000000000000004">
      <c r="A1138" s="7">
        <v>45</v>
      </c>
      <c r="B1138" s="7">
        <v>1</v>
      </c>
      <c r="C1138" s="7">
        <v>9</v>
      </c>
      <c r="D1138" s="7">
        <v>300</v>
      </c>
      <c r="E1138" s="7" t="s">
        <v>1002</v>
      </c>
      <c r="G1138" s="7">
        <v>1</v>
      </c>
      <c r="H1138" s="7">
        <v>1</v>
      </c>
      <c r="I1138" s="7">
        <v>1</v>
      </c>
      <c r="P1138" s="7">
        <v>1</v>
      </c>
      <c r="Q1138" s="7">
        <v>1</v>
      </c>
    </row>
    <row r="1139" spans="1:20" x14ac:dyDescent="0.55000000000000004">
      <c r="A1139" s="7">
        <v>45</v>
      </c>
      <c r="B1139" s="7">
        <v>1</v>
      </c>
      <c r="C1139" s="7">
        <v>10</v>
      </c>
      <c r="D1139" s="7">
        <v>250</v>
      </c>
      <c r="E1139" s="7" t="s">
        <v>1001</v>
      </c>
      <c r="G1139" s="7">
        <v>1</v>
      </c>
      <c r="I1139" s="7">
        <v>1</v>
      </c>
      <c r="O1139" s="7">
        <v>1</v>
      </c>
      <c r="P1139" s="7">
        <v>1</v>
      </c>
      <c r="Q1139" s="7">
        <v>1</v>
      </c>
    </row>
    <row r="1140" spans="1:20" x14ac:dyDescent="0.55000000000000004">
      <c r="A1140" s="7">
        <v>45</v>
      </c>
      <c r="B1140" s="7">
        <v>1</v>
      </c>
      <c r="C1140" s="7">
        <v>11</v>
      </c>
      <c r="D1140" s="7">
        <v>200</v>
      </c>
      <c r="E1140" s="7" t="s">
        <v>1000</v>
      </c>
      <c r="G1140" s="7">
        <v>1</v>
      </c>
      <c r="H1140" s="7">
        <v>1</v>
      </c>
      <c r="I1140" s="7">
        <v>1</v>
      </c>
      <c r="P1140" s="7">
        <v>1</v>
      </c>
      <c r="Q1140" s="7">
        <v>1</v>
      </c>
    </row>
    <row r="1141" spans="1:20" x14ac:dyDescent="0.55000000000000004">
      <c r="A1141" s="7">
        <v>45</v>
      </c>
      <c r="B1141" s="7">
        <v>1</v>
      </c>
      <c r="C1141" s="7">
        <v>12</v>
      </c>
      <c r="D1141" s="7">
        <v>175</v>
      </c>
      <c r="E1141" s="7" t="s">
        <v>999</v>
      </c>
      <c r="G1141" s="7">
        <v>1</v>
      </c>
      <c r="I1141" s="7">
        <v>1</v>
      </c>
      <c r="P1141" s="7">
        <v>1</v>
      </c>
      <c r="Q1141" s="7">
        <v>1</v>
      </c>
    </row>
    <row r="1142" spans="1:20" x14ac:dyDescent="0.55000000000000004">
      <c r="A1142" s="7">
        <v>45</v>
      </c>
      <c r="B1142" s="7">
        <v>1</v>
      </c>
      <c r="C1142" s="7">
        <v>13</v>
      </c>
      <c r="D1142" s="7">
        <v>150</v>
      </c>
      <c r="E1142" s="7" t="s">
        <v>998</v>
      </c>
      <c r="G1142" s="7">
        <v>1</v>
      </c>
      <c r="H1142" s="7">
        <v>1</v>
      </c>
      <c r="I1142" s="7">
        <v>1</v>
      </c>
      <c r="O1142" s="7">
        <v>1</v>
      </c>
      <c r="P1142" s="7">
        <v>1</v>
      </c>
      <c r="Q1142" s="7">
        <v>1</v>
      </c>
    </row>
    <row r="1143" spans="1:20" x14ac:dyDescent="0.55000000000000004">
      <c r="A1143" s="7">
        <v>45</v>
      </c>
      <c r="B1143" s="7">
        <v>1</v>
      </c>
      <c r="C1143" s="7">
        <v>14</v>
      </c>
      <c r="D1143" s="7">
        <v>130</v>
      </c>
      <c r="E1143" s="7" t="s">
        <v>997</v>
      </c>
      <c r="G1143" s="7">
        <v>1</v>
      </c>
      <c r="I1143" s="7">
        <v>1</v>
      </c>
      <c r="P1143" s="7">
        <v>1</v>
      </c>
    </row>
    <row r="1144" spans="1:20" x14ac:dyDescent="0.55000000000000004">
      <c r="A1144" s="7">
        <v>45</v>
      </c>
      <c r="B1144" s="7">
        <v>1</v>
      </c>
      <c r="C1144" s="7">
        <v>15</v>
      </c>
      <c r="D1144" s="7">
        <v>115</v>
      </c>
      <c r="E1144" s="7" t="s">
        <v>996</v>
      </c>
      <c r="G1144" s="7">
        <v>1</v>
      </c>
      <c r="I1144" s="7">
        <v>1</v>
      </c>
      <c r="P1144" s="7">
        <v>1</v>
      </c>
    </row>
    <row r="1145" spans="1:20" x14ac:dyDescent="0.55000000000000004">
      <c r="A1145" s="7">
        <v>45</v>
      </c>
      <c r="B1145" s="7">
        <v>1</v>
      </c>
      <c r="C1145" s="7">
        <v>16</v>
      </c>
      <c r="D1145" s="7">
        <v>100</v>
      </c>
      <c r="E1145" s="7" t="s">
        <v>995</v>
      </c>
      <c r="G1145" s="7">
        <v>1</v>
      </c>
      <c r="H1145" s="7">
        <v>1</v>
      </c>
      <c r="I1145" s="7">
        <v>1</v>
      </c>
      <c r="O1145" s="7">
        <v>1</v>
      </c>
      <c r="P1145" s="7">
        <v>1</v>
      </c>
      <c r="Q1145" s="7">
        <v>1</v>
      </c>
      <c r="T1145" s="7" t="s">
        <v>1011</v>
      </c>
    </row>
    <row r="1146" spans="1:20" x14ac:dyDescent="0.55000000000000004">
      <c r="A1146" s="7">
        <v>45</v>
      </c>
      <c r="B1146" s="7">
        <v>1</v>
      </c>
      <c r="C1146" s="7">
        <v>17</v>
      </c>
      <c r="D1146" s="7">
        <v>85</v>
      </c>
      <c r="E1146" s="7" t="s">
        <v>994</v>
      </c>
      <c r="G1146" s="7">
        <v>1</v>
      </c>
      <c r="I1146" s="7">
        <v>1</v>
      </c>
      <c r="P1146" s="7">
        <v>1</v>
      </c>
    </row>
    <row r="1147" spans="1:20" x14ac:dyDescent="0.55000000000000004">
      <c r="A1147" s="7">
        <v>45</v>
      </c>
      <c r="B1147" s="7">
        <v>1</v>
      </c>
      <c r="C1147" s="7">
        <v>18</v>
      </c>
      <c r="D1147" s="7">
        <v>70</v>
      </c>
      <c r="E1147" s="7" t="s">
        <v>993</v>
      </c>
      <c r="G1147" s="7">
        <v>1</v>
      </c>
      <c r="H1147" s="7">
        <v>1</v>
      </c>
      <c r="I1147" s="7">
        <v>1</v>
      </c>
      <c r="O1147" s="7">
        <v>1</v>
      </c>
      <c r="P1147" s="7">
        <v>1</v>
      </c>
      <c r="Q1147" s="7">
        <v>1</v>
      </c>
    </row>
    <row r="1148" spans="1:20" x14ac:dyDescent="0.55000000000000004">
      <c r="A1148" s="7">
        <v>45</v>
      </c>
      <c r="B1148" s="7">
        <v>1</v>
      </c>
      <c r="C1148" s="7">
        <v>19</v>
      </c>
      <c r="D1148" s="7">
        <v>55</v>
      </c>
      <c r="E1148" s="7" t="s">
        <v>992</v>
      </c>
      <c r="G1148" s="7">
        <v>1</v>
      </c>
      <c r="H1148" s="7">
        <v>1</v>
      </c>
      <c r="I1148" s="7">
        <v>1</v>
      </c>
      <c r="J1148" s="7">
        <v>1</v>
      </c>
      <c r="O1148" s="7">
        <v>1</v>
      </c>
      <c r="P1148" s="7">
        <v>1</v>
      </c>
    </row>
    <row r="1149" spans="1:20" x14ac:dyDescent="0.55000000000000004">
      <c r="A1149" s="7">
        <v>45</v>
      </c>
      <c r="B1149" s="7">
        <v>1</v>
      </c>
      <c r="C1149" s="7">
        <v>20</v>
      </c>
      <c r="D1149" s="7">
        <v>40</v>
      </c>
      <c r="E1149" s="7" t="s">
        <v>991</v>
      </c>
      <c r="G1149" s="7">
        <v>1</v>
      </c>
      <c r="I1149" s="7">
        <v>1</v>
      </c>
      <c r="J1149" s="7">
        <v>1</v>
      </c>
      <c r="P1149" s="7">
        <v>1</v>
      </c>
      <c r="Q1149" s="7">
        <v>1</v>
      </c>
    </row>
    <row r="1150" spans="1:20" x14ac:dyDescent="0.55000000000000004">
      <c r="A1150" s="7">
        <v>45</v>
      </c>
      <c r="B1150" s="7">
        <v>1</v>
      </c>
      <c r="C1150" s="7">
        <v>21</v>
      </c>
      <c r="D1150" s="7">
        <v>30</v>
      </c>
      <c r="E1150" s="7" t="s">
        <v>990</v>
      </c>
      <c r="G1150" s="7">
        <v>1</v>
      </c>
      <c r="H1150" s="7">
        <v>1</v>
      </c>
      <c r="I1150" s="7">
        <v>1</v>
      </c>
      <c r="J1150" s="7">
        <v>1</v>
      </c>
      <c r="O1150" s="7">
        <v>1</v>
      </c>
      <c r="P1150" s="7">
        <v>1</v>
      </c>
    </row>
    <row r="1151" spans="1:20" x14ac:dyDescent="0.55000000000000004">
      <c r="A1151" s="7">
        <v>45</v>
      </c>
      <c r="B1151" s="7">
        <v>1</v>
      </c>
      <c r="C1151" s="7">
        <v>22</v>
      </c>
      <c r="D1151" s="7">
        <v>20</v>
      </c>
      <c r="E1151" s="7" t="s">
        <v>989</v>
      </c>
      <c r="G1151" s="7">
        <v>1</v>
      </c>
      <c r="H1151" s="7">
        <v>1</v>
      </c>
      <c r="I1151" s="7">
        <v>1</v>
      </c>
      <c r="J1151" s="7">
        <v>1</v>
      </c>
      <c r="O1151" s="7">
        <v>1</v>
      </c>
      <c r="P1151" s="7">
        <v>1</v>
      </c>
      <c r="Q1151" s="7">
        <v>1</v>
      </c>
    </row>
    <row r="1152" spans="1:20" x14ac:dyDescent="0.55000000000000004">
      <c r="A1152" s="7">
        <v>45</v>
      </c>
      <c r="B1152" s="7">
        <v>1</v>
      </c>
      <c r="C1152" s="7">
        <v>23</v>
      </c>
      <c r="D1152" s="7">
        <v>10</v>
      </c>
      <c r="E1152" s="7" t="s">
        <v>988</v>
      </c>
      <c r="G1152" s="7">
        <v>1</v>
      </c>
      <c r="H1152" s="7">
        <v>1</v>
      </c>
      <c r="I1152" s="7">
        <v>1</v>
      </c>
      <c r="J1152" s="7">
        <v>1</v>
      </c>
      <c r="O1152" s="7">
        <v>1</v>
      </c>
      <c r="P1152" s="7">
        <v>1</v>
      </c>
    </row>
    <row r="1153" spans="1:18" x14ac:dyDescent="0.55000000000000004">
      <c r="A1153" s="7">
        <v>45</v>
      </c>
      <c r="B1153" s="7">
        <v>1</v>
      </c>
      <c r="C1153" s="7">
        <v>24</v>
      </c>
      <c r="D1153" s="7">
        <v>2</v>
      </c>
      <c r="E1153" s="7" t="s">
        <v>987</v>
      </c>
      <c r="G1153" s="7">
        <v>1</v>
      </c>
      <c r="I1153" s="7">
        <v>1</v>
      </c>
      <c r="J1153" s="7">
        <v>1</v>
      </c>
      <c r="O1153" s="7">
        <v>1</v>
      </c>
      <c r="P1153" s="7">
        <v>1</v>
      </c>
      <c r="Q1153" s="7">
        <v>1</v>
      </c>
      <c r="R1153" s="7">
        <v>1</v>
      </c>
    </row>
    <row r="2684" spans="4:4" x14ac:dyDescent="0.55000000000000004">
      <c r="D2684" s="9"/>
    </row>
    <row r="2685" spans="4:4" x14ac:dyDescent="0.55000000000000004">
      <c r="D2685" s="9"/>
    </row>
    <row r="2686" spans="4:4" x14ac:dyDescent="0.55000000000000004">
      <c r="D2686" s="9"/>
    </row>
    <row r="2687" spans="4:4" x14ac:dyDescent="0.55000000000000004">
      <c r="D2687" s="9"/>
    </row>
    <row r="2688" spans="4:4" x14ac:dyDescent="0.55000000000000004">
      <c r="D2688" s="9"/>
    </row>
    <row r="2689" spans="4:4" x14ac:dyDescent="0.55000000000000004">
      <c r="D268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8"/>
  <sheetViews>
    <sheetView workbookViewId="0">
      <pane xSplit="2" ySplit="1" topLeftCell="Q2" activePane="bottomRight" state="frozen"/>
      <selection pane="topRight" activeCell="C1" sqref="C1"/>
      <selection pane="bottomLeft" activeCell="A2" sqref="A2"/>
      <selection pane="bottomRight" activeCell="B42" sqref="B42"/>
    </sheetView>
  </sheetViews>
  <sheetFormatPr defaultColWidth="20.68359375" defaultRowHeight="14.4" x14ac:dyDescent="0.55000000000000004"/>
  <cols>
    <col min="1" max="1" width="20.68359375" style="7"/>
    <col min="2" max="2" width="10.89453125" style="7" bestFit="1" customWidth="1"/>
    <col min="3" max="3" width="5.578125" style="7" bestFit="1" customWidth="1"/>
    <col min="4" max="16384" width="20.68359375" style="7"/>
  </cols>
  <sheetData>
    <row r="1" spans="1:24" x14ac:dyDescent="0.55000000000000004">
      <c r="A1" s="7" t="s">
        <v>72</v>
      </c>
      <c r="B1" s="7" t="s">
        <v>73</v>
      </c>
      <c r="C1" s="7" t="s">
        <v>93</v>
      </c>
      <c r="D1" s="7" t="s">
        <v>94</v>
      </c>
      <c r="E1" s="7" t="s">
        <v>95</v>
      </c>
      <c r="F1" s="7" t="s">
        <v>416</v>
      </c>
      <c r="G1" s="7" t="s">
        <v>96</v>
      </c>
      <c r="H1" s="12" t="s">
        <v>97</v>
      </c>
      <c r="I1" s="7" t="s">
        <v>98</v>
      </c>
      <c r="J1" s="7" t="s">
        <v>99</v>
      </c>
      <c r="K1" s="13" t="s">
        <v>100</v>
      </c>
      <c r="L1" s="7" t="s">
        <v>101</v>
      </c>
      <c r="M1" s="7" t="s">
        <v>102</v>
      </c>
      <c r="N1" s="7" t="s">
        <v>103</v>
      </c>
      <c r="O1" s="14" t="s">
        <v>104</v>
      </c>
      <c r="P1" s="7" t="s">
        <v>105</v>
      </c>
      <c r="Q1" s="7" t="s">
        <v>106</v>
      </c>
      <c r="R1" s="7" t="s">
        <v>107</v>
      </c>
      <c r="S1" s="7" t="s">
        <v>108</v>
      </c>
      <c r="T1" s="7" t="s">
        <v>202</v>
      </c>
      <c r="U1" s="7" t="s">
        <v>113</v>
      </c>
      <c r="V1" s="7" t="s">
        <v>114</v>
      </c>
      <c r="W1" s="7" t="s">
        <v>115</v>
      </c>
      <c r="X1" s="7" t="s">
        <v>77</v>
      </c>
    </row>
    <row r="2" spans="1:24" x14ac:dyDescent="0.55000000000000004">
      <c r="A2" s="7">
        <v>0</v>
      </c>
      <c r="B2" s="7">
        <v>1</v>
      </c>
      <c r="C2" s="7">
        <v>1</v>
      </c>
      <c r="D2" s="15" t="s">
        <v>109</v>
      </c>
      <c r="E2" s="16">
        <v>74.45</v>
      </c>
      <c r="F2" s="16"/>
      <c r="G2" s="16">
        <v>171.69</v>
      </c>
      <c r="H2" s="23" t="s">
        <v>110</v>
      </c>
      <c r="I2" s="18">
        <v>0.90208333333333324</v>
      </c>
      <c r="J2" s="18">
        <v>0.93333333333333324</v>
      </c>
      <c r="K2" s="13">
        <v>1140</v>
      </c>
      <c r="L2" s="7">
        <v>1064</v>
      </c>
      <c r="M2" s="7" t="s">
        <v>111</v>
      </c>
      <c r="N2" s="7" t="s">
        <v>112</v>
      </c>
      <c r="O2" s="14">
        <v>983.9</v>
      </c>
      <c r="P2" s="7">
        <v>0</v>
      </c>
      <c r="Q2" s="7">
        <v>9.1999999999999993</v>
      </c>
      <c r="R2" s="7">
        <v>112.4</v>
      </c>
      <c r="S2" s="7">
        <v>100</v>
      </c>
      <c r="T2" s="7">
        <v>0</v>
      </c>
      <c r="U2" s="7">
        <v>1</v>
      </c>
      <c r="V2" s="7">
        <v>1</v>
      </c>
      <c r="W2" s="7" t="s">
        <v>24</v>
      </c>
      <c r="X2" s="7" t="s">
        <v>116</v>
      </c>
    </row>
    <row r="3" spans="1:24" x14ac:dyDescent="0.55000000000000004">
      <c r="A3" s="7">
        <v>1</v>
      </c>
      <c r="B3" s="7">
        <v>1</v>
      </c>
      <c r="C3" s="7">
        <v>1</v>
      </c>
      <c r="D3" s="15" t="s">
        <v>128</v>
      </c>
      <c r="E3" s="16">
        <v>73.802400000000006</v>
      </c>
      <c r="F3" s="16"/>
      <c r="G3" s="16">
        <v>167.88679999999999</v>
      </c>
      <c r="H3" s="17" t="s">
        <v>129</v>
      </c>
      <c r="I3" s="18">
        <v>0.73935185185185182</v>
      </c>
      <c r="J3" s="18">
        <v>0.75031250000000005</v>
      </c>
      <c r="K3" s="13">
        <v>44</v>
      </c>
      <c r="L3" s="7">
        <v>37</v>
      </c>
      <c r="M3" s="7" t="s">
        <v>130</v>
      </c>
      <c r="N3" s="7" t="s">
        <v>131</v>
      </c>
      <c r="O3" s="14">
        <v>994.8</v>
      </c>
      <c r="P3" s="7">
        <v>-0.5</v>
      </c>
      <c r="Q3" s="7">
        <v>10.199999999999999</v>
      </c>
      <c r="R3" s="7">
        <v>20.399999999999999</v>
      </c>
      <c r="S3" s="7">
        <v>100</v>
      </c>
      <c r="T3" s="7">
        <v>0</v>
      </c>
      <c r="U3" s="7">
        <v>1</v>
      </c>
      <c r="W3" s="7">
        <v>1</v>
      </c>
      <c r="X3" s="7" t="s">
        <v>132</v>
      </c>
    </row>
    <row r="4" spans="1:24" x14ac:dyDescent="0.55000000000000004">
      <c r="A4" s="7">
        <v>2</v>
      </c>
      <c r="B4" s="7">
        <v>1</v>
      </c>
      <c r="C4" s="7">
        <v>1</v>
      </c>
      <c r="D4" s="15" t="s">
        <v>137</v>
      </c>
      <c r="E4" s="16">
        <v>74.123800000000003</v>
      </c>
      <c r="F4" s="16"/>
      <c r="G4" s="16">
        <v>168.761</v>
      </c>
      <c r="H4" s="17" t="s">
        <v>136</v>
      </c>
      <c r="I4" s="18">
        <v>8.0555555555555561E-2</v>
      </c>
      <c r="J4" s="18">
        <v>8.7500000000000008E-2</v>
      </c>
      <c r="K4" s="13">
        <v>47.2</v>
      </c>
      <c r="L4" s="7">
        <v>40.1</v>
      </c>
      <c r="M4" s="7" t="s">
        <v>141</v>
      </c>
      <c r="N4" s="7" t="s">
        <v>138</v>
      </c>
      <c r="O4" s="14">
        <v>996.7</v>
      </c>
      <c r="P4" s="7">
        <v>-0.1</v>
      </c>
      <c r="Q4" s="7">
        <v>4.9000000000000004</v>
      </c>
      <c r="R4" s="7">
        <v>329</v>
      </c>
      <c r="S4" s="7">
        <v>100</v>
      </c>
      <c r="T4" s="7">
        <v>2</v>
      </c>
      <c r="U4" s="7">
        <v>1</v>
      </c>
    </row>
    <row r="5" spans="1:24" x14ac:dyDescent="0.55000000000000004">
      <c r="A5" s="7">
        <v>3</v>
      </c>
      <c r="B5" s="7">
        <v>1</v>
      </c>
      <c r="C5" s="7">
        <v>1</v>
      </c>
      <c r="D5" s="15" t="s">
        <v>137</v>
      </c>
      <c r="E5" s="16">
        <v>74.461100000000002</v>
      </c>
      <c r="F5" s="16"/>
      <c r="G5" s="16">
        <v>169.87479999999999</v>
      </c>
      <c r="H5" s="17" t="s">
        <v>140</v>
      </c>
      <c r="I5" s="18">
        <v>0.25347222222222221</v>
      </c>
      <c r="J5" s="18">
        <v>0.26250000000000001</v>
      </c>
      <c r="K5" s="13">
        <v>58</v>
      </c>
      <c r="L5" s="7">
        <v>52.1</v>
      </c>
      <c r="M5" s="7" t="s">
        <v>141</v>
      </c>
      <c r="N5" s="7" t="s">
        <v>142</v>
      </c>
      <c r="O5" s="19">
        <v>994.8</v>
      </c>
      <c r="P5" s="7">
        <v>-2.6</v>
      </c>
      <c r="Q5" s="7">
        <v>12.6</v>
      </c>
      <c r="R5" s="7">
        <v>318</v>
      </c>
      <c r="S5" s="7">
        <v>100</v>
      </c>
      <c r="T5" s="7">
        <v>1</v>
      </c>
      <c r="U5" s="7">
        <v>1</v>
      </c>
    </row>
    <row r="6" spans="1:24" x14ac:dyDescent="0.55000000000000004">
      <c r="A6" s="7">
        <v>4</v>
      </c>
      <c r="B6" s="7">
        <v>1</v>
      </c>
      <c r="C6" s="7">
        <v>1</v>
      </c>
      <c r="D6" s="15" t="s">
        <v>137</v>
      </c>
      <c r="E6" s="16">
        <v>74.786699999999996</v>
      </c>
      <c r="F6" s="16"/>
      <c r="G6" s="16">
        <v>171.0248</v>
      </c>
      <c r="H6" s="17" t="s">
        <v>163</v>
      </c>
      <c r="I6" s="18">
        <v>0.42222222222222222</v>
      </c>
      <c r="J6" s="18"/>
      <c r="K6" s="13">
        <v>65</v>
      </c>
      <c r="L6" s="7">
        <v>60</v>
      </c>
      <c r="M6" s="7" t="s">
        <v>130</v>
      </c>
      <c r="N6" s="7" t="s">
        <v>164</v>
      </c>
      <c r="O6" s="19">
        <v>996</v>
      </c>
      <c r="P6" s="7">
        <v>-2</v>
      </c>
      <c r="Q6" s="7">
        <v>20</v>
      </c>
      <c r="R6" s="7">
        <v>116</v>
      </c>
      <c r="S6" s="7">
        <v>100</v>
      </c>
      <c r="T6" s="7">
        <v>0</v>
      </c>
      <c r="U6" s="7">
        <v>1</v>
      </c>
    </row>
    <row r="7" spans="1:24" x14ac:dyDescent="0.55000000000000004">
      <c r="A7" s="7">
        <v>5</v>
      </c>
      <c r="B7" s="7">
        <v>1</v>
      </c>
      <c r="C7" s="7">
        <v>1</v>
      </c>
      <c r="D7" s="15" t="s">
        <v>137</v>
      </c>
      <c r="E7" s="16">
        <v>75.106700000000004</v>
      </c>
      <c r="F7" s="16"/>
      <c r="G7" s="16">
        <v>172.1876</v>
      </c>
      <c r="H7" s="17" t="s">
        <v>198</v>
      </c>
      <c r="I7" s="18">
        <v>0.61805555555555558</v>
      </c>
      <c r="J7" s="18">
        <v>0.64027777777777783</v>
      </c>
      <c r="K7" s="13">
        <v>142</v>
      </c>
      <c r="L7" s="7">
        <v>140.30000000000001</v>
      </c>
      <c r="M7" s="7" t="s">
        <v>199</v>
      </c>
      <c r="N7" s="7" t="s">
        <v>165</v>
      </c>
      <c r="O7" s="19">
        <v>995.1</v>
      </c>
      <c r="P7" s="7">
        <v>-0.8</v>
      </c>
      <c r="Q7" s="7">
        <v>10.8</v>
      </c>
      <c r="R7" s="7">
        <v>339</v>
      </c>
      <c r="S7" s="7">
        <v>100</v>
      </c>
      <c r="T7" s="7">
        <v>0</v>
      </c>
      <c r="U7" s="7">
        <v>1</v>
      </c>
      <c r="W7" s="7">
        <v>1</v>
      </c>
    </row>
    <row r="8" spans="1:24" x14ac:dyDescent="0.55000000000000004">
      <c r="A8" s="7">
        <v>6</v>
      </c>
      <c r="B8" s="7">
        <v>1</v>
      </c>
      <c r="C8" s="7">
        <v>1</v>
      </c>
      <c r="D8" s="15" t="s">
        <v>159</v>
      </c>
      <c r="E8" s="16">
        <v>75.440600000000003</v>
      </c>
      <c r="F8" s="16"/>
      <c r="G8" s="16">
        <v>173.7062</v>
      </c>
      <c r="H8" s="17" t="s">
        <v>200</v>
      </c>
      <c r="I8" s="18"/>
      <c r="J8" s="18"/>
      <c r="K8" s="13">
        <v>205</v>
      </c>
      <c r="L8" s="7">
        <v>202.3</v>
      </c>
      <c r="M8" s="7" t="s">
        <v>141</v>
      </c>
      <c r="N8" s="7" t="s">
        <v>143</v>
      </c>
      <c r="O8" s="19">
        <v>995</v>
      </c>
      <c r="P8" s="7">
        <v>-0.5</v>
      </c>
      <c r="Q8" s="7">
        <v>16.7</v>
      </c>
      <c r="R8" s="7">
        <v>23</v>
      </c>
      <c r="S8" s="7">
        <v>100</v>
      </c>
      <c r="T8" s="7" t="s">
        <v>201</v>
      </c>
      <c r="X8" s="7" t="s">
        <v>204</v>
      </c>
    </row>
    <row r="9" spans="1:24" x14ac:dyDescent="0.55000000000000004">
      <c r="A9" s="7">
        <v>6</v>
      </c>
      <c r="B9" s="7">
        <v>2</v>
      </c>
      <c r="C9" s="7">
        <v>1</v>
      </c>
      <c r="D9" s="15" t="s">
        <v>159</v>
      </c>
      <c r="E9" s="16">
        <v>75.438000000000002</v>
      </c>
      <c r="F9" s="16"/>
      <c r="G9" s="16">
        <v>173.71680000000001</v>
      </c>
      <c r="H9" s="17" t="s">
        <v>203</v>
      </c>
      <c r="I9" s="18">
        <v>0.16805555555555554</v>
      </c>
      <c r="J9" s="18"/>
      <c r="K9" s="13">
        <v>206.3</v>
      </c>
      <c r="L9" s="7">
        <v>200.1</v>
      </c>
      <c r="M9" s="7" t="s">
        <v>111</v>
      </c>
      <c r="O9" s="19">
        <v>994.8</v>
      </c>
      <c r="P9" s="7">
        <v>-0.4</v>
      </c>
      <c r="Q9" s="7">
        <v>8.1999999999999993</v>
      </c>
      <c r="R9" s="7">
        <v>38</v>
      </c>
      <c r="S9" s="7">
        <v>100</v>
      </c>
      <c r="T9" s="7">
        <v>0</v>
      </c>
      <c r="U9" s="7">
        <v>1</v>
      </c>
      <c r="X9" s="7" t="s">
        <v>205</v>
      </c>
    </row>
    <row r="10" spans="1:24" x14ac:dyDescent="0.55000000000000004">
      <c r="A10" s="7">
        <v>7</v>
      </c>
      <c r="B10" s="7">
        <v>1</v>
      </c>
      <c r="C10" s="7">
        <v>1</v>
      </c>
      <c r="D10" s="15" t="s">
        <v>159</v>
      </c>
      <c r="E10" s="16">
        <v>75.741699999999994</v>
      </c>
      <c r="F10" s="16"/>
      <c r="G10" s="16">
        <v>175.256</v>
      </c>
      <c r="H10" s="17" t="s">
        <v>206</v>
      </c>
      <c r="I10" s="18">
        <v>0.35000000000000003</v>
      </c>
      <c r="J10" s="18">
        <v>0.37361111111111112</v>
      </c>
      <c r="K10" s="13">
        <v>250</v>
      </c>
      <c r="L10" s="7">
        <v>243</v>
      </c>
      <c r="M10" s="7" t="s">
        <v>130</v>
      </c>
      <c r="N10" s="7" t="s">
        <v>207</v>
      </c>
      <c r="O10" s="19">
        <v>996</v>
      </c>
      <c r="P10" s="7">
        <v>-1.6</v>
      </c>
      <c r="Q10" s="7">
        <v>10.4</v>
      </c>
      <c r="R10" s="7">
        <v>24</v>
      </c>
      <c r="S10" s="7">
        <v>100</v>
      </c>
      <c r="T10" s="7">
        <v>1</v>
      </c>
      <c r="U10" s="7">
        <v>1</v>
      </c>
    </row>
    <row r="11" spans="1:24" x14ac:dyDescent="0.55000000000000004">
      <c r="A11" s="7">
        <v>8</v>
      </c>
      <c r="B11" s="7">
        <v>1</v>
      </c>
      <c r="C11" s="7">
        <v>1</v>
      </c>
      <c r="D11" s="15" t="s">
        <v>159</v>
      </c>
      <c r="E11" s="16">
        <v>76.044610000000006</v>
      </c>
      <c r="F11" s="16"/>
      <c r="G11" s="16">
        <v>176.87237999999999</v>
      </c>
      <c r="H11" s="17" t="s">
        <v>226</v>
      </c>
      <c r="I11" s="18">
        <v>0.61597222222222225</v>
      </c>
      <c r="J11" s="18"/>
      <c r="K11" s="13">
        <v>570</v>
      </c>
      <c r="L11" s="7">
        <v>560</v>
      </c>
      <c r="M11" s="7" t="s">
        <v>227</v>
      </c>
      <c r="N11" s="7" t="s">
        <v>208</v>
      </c>
      <c r="O11" s="19">
        <v>998</v>
      </c>
      <c r="P11" s="7">
        <v>-2</v>
      </c>
      <c r="Q11" s="7">
        <v>18</v>
      </c>
      <c r="R11" s="7">
        <v>35</v>
      </c>
      <c r="S11" s="7">
        <v>100</v>
      </c>
      <c r="T11" s="7">
        <v>1</v>
      </c>
      <c r="U11" s="7">
        <v>1</v>
      </c>
    </row>
    <row r="12" spans="1:24" x14ac:dyDescent="0.55000000000000004">
      <c r="A12" s="7">
        <v>9</v>
      </c>
      <c r="B12" s="7">
        <v>1</v>
      </c>
      <c r="D12" s="15" t="s">
        <v>159</v>
      </c>
      <c r="X12" s="7" t="s">
        <v>229</v>
      </c>
    </row>
    <row r="13" spans="1:24" x14ac:dyDescent="0.55000000000000004">
      <c r="A13" s="7">
        <v>9</v>
      </c>
      <c r="B13" s="7">
        <v>2</v>
      </c>
      <c r="C13" s="7">
        <v>1</v>
      </c>
      <c r="D13" s="15" t="s">
        <v>159</v>
      </c>
      <c r="E13" s="16">
        <v>76.3339</v>
      </c>
      <c r="F13" s="16"/>
      <c r="G13" s="16">
        <v>178.56290000000001</v>
      </c>
      <c r="H13" s="17" t="s">
        <v>228</v>
      </c>
      <c r="I13" s="18">
        <v>0.83194444444444438</v>
      </c>
      <c r="J13" s="18"/>
      <c r="K13" s="13">
        <v>1172</v>
      </c>
      <c r="L13" s="7">
        <v>250</v>
      </c>
      <c r="M13" s="7" t="s">
        <v>111</v>
      </c>
      <c r="O13" s="19">
        <v>999.5</v>
      </c>
      <c r="P13" s="7">
        <v>-0.7</v>
      </c>
      <c r="Q13" s="7">
        <v>12.6</v>
      </c>
      <c r="R13" s="7">
        <v>18.899999999999999</v>
      </c>
      <c r="S13" s="7">
        <v>100</v>
      </c>
      <c r="T13" s="7" t="s">
        <v>24</v>
      </c>
      <c r="U13" s="7">
        <v>1</v>
      </c>
    </row>
    <row r="14" spans="1:24" x14ac:dyDescent="0.55000000000000004">
      <c r="A14" s="7">
        <v>9</v>
      </c>
      <c r="B14" s="7">
        <v>3</v>
      </c>
      <c r="C14" s="7">
        <v>1</v>
      </c>
      <c r="D14" s="15" t="s">
        <v>159</v>
      </c>
      <c r="E14" s="16">
        <v>76.329099999999997</v>
      </c>
      <c r="F14" s="16"/>
      <c r="G14" s="16">
        <v>178.5523</v>
      </c>
      <c r="H14" s="17" t="s">
        <v>230</v>
      </c>
      <c r="I14" s="18">
        <v>0.90694444444444444</v>
      </c>
      <c r="J14" s="18"/>
      <c r="K14" s="13">
        <v>1172</v>
      </c>
      <c r="L14" s="7">
        <v>1161.8</v>
      </c>
      <c r="M14" s="7" t="s">
        <v>111</v>
      </c>
      <c r="N14" s="7" t="s">
        <v>231</v>
      </c>
      <c r="O14" s="19">
        <v>1000</v>
      </c>
      <c r="P14" s="7">
        <v>-0.8</v>
      </c>
      <c r="Q14" s="7">
        <v>5.4</v>
      </c>
      <c r="R14" s="7">
        <v>29</v>
      </c>
      <c r="S14" s="7">
        <v>99.9</v>
      </c>
      <c r="T14" s="7">
        <v>2</v>
      </c>
      <c r="V14" s="7">
        <v>1</v>
      </c>
    </row>
    <row r="15" spans="1:24" x14ac:dyDescent="0.55000000000000004">
      <c r="A15" s="7">
        <v>10</v>
      </c>
      <c r="B15" s="7">
        <v>1</v>
      </c>
      <c r="C15" s="7">
        <v>1</v>
      </c>
      <c r="D15" s="15" t="s">
        <v>160</v>
      </c>
      <c r="E15" s="16">
        <v>76.602000000000004</v>
      </c>
      <c r="F15" s="16"/>
      <c r="G15" s="16">
        <v>179.76679999999999</v>
      </c>
      <c r="H15" s="17" t="s">
        <v>276</v>
      </c>
      <c r="I15" s="18">
        <v>0.16944444444444443</v>
      </c>
      <c r="J15" s="18">
        <v>0.21319444444444444</v>
      </c>
      <c r="K15" s="13">
        <v>1160</v>
      </c>
      <c r="L15" s="7">
        <v>1155</v>
      </c>
      <c r="M15" s="7" t="s">
        <v>299</v>
      </c>
      <c r="N15" s="7" t="s">
        <v>144</v>
      </c>
      <c r="O15" s="19">
        <v>1001</v>
      </c>
      <c r="P15" s="7">
        <v>-1.3</v>
      </c>
      <c r="Q15" s="7">
        <v>17</v>
      </c>
      <c r="R15" s="7">
        <v>345.7</v>
      </c>
      <c r="S15" s="7">
        <v>100</v>
      </c>
      <c r="T15" s="7">
        <v>2</v>
      </c>
      <c r="U15" s="7">
        <v>1</v>
      </c>
      <c r="X15" s="7" t="s">
        <v>297</v>
      </c>
    </row>
    <row r="16" spans="1:24" x14ac:dyDescent="0.55000000000000004">
      <c r="A16" s="7">
        <v>11</v>
      </c>
      <c r="B16" s="7">
        <v>1</v>
      </c>
      <c r="C16" s="7">
        <v>1</v>
      </c>
      <c r="D16" s="15" t="s">
        <v>161</v>
      </c>
      <c r="E16" s="16">
        <v>77.010099999999994</v>
      </c>
      <c r="F16" s="16"/>
      <c r="G16" s="16">
        <v>177.9889</v>
      </c>
      <c r="H16" s="17" t="s">
        <v>298</v>
      </c>
      <c r="I16" s="18">
        <v>0.22500000000000001</v>
      </c>
      <c r="J16" s="18">
        <v>0.26458333333333334</v>
      </c>
      <c r="K16" s="13">
        <v>1310</v>
      </c>
      <c r="L16" s="7">
        <v>1305.2</v>
      </c>
      <c r="M16" s="7" t="s">
        <v>299</v>
      </c>
      <c r="N16" s="7" t="s">
        <v>145</v>
      </c>
      <c r="O16" s="19">
        <v>1006.6</v>
      </c>
      <c r="P16" s="7">
        <v>-0.8</v>
      </c>
      <c r="Q16" s="7">
        <v>18.2</v>
      </c>
      <c r="R16" s="7">
        <v>297</v>
      </c>
      <c r="S16" s="7">
        <v>96.5</v>
      </c>
      <c r="T16" s="7">
        <v>1</v>
      </c>
      <c r="U16" s="7">
        <v>1</v>
      </c>
      <c r="X16" s="7" t="s">
        <v>324</v>
      </c>
    </row>
    <row r="17" spans="1:24" x14ac:dyDescent="0.55000000000000004">
      <c r="A17" s="7">
        <v>12</v>
      </c>
      <c r="B17" s="7">
        <v>1</v>
      </c>
      <c r="C17" s="7">
        <v>1</v>
      </c>
      <c r="D17" s="15" t="s">
        <v>161</v>
      </c>
      <c r="E17" s="16">
        <v>77.395899999999997</v>
      </c>
      <c r="F17" s="16"/>
      <c r="G17" s="16">
        <v>176.17429999999999</v>
      </c>
      <c r="H17" s="17" t="s">
        <v>325</v>
      </c>
      <c r="I17" s="18">
        <v>0.59652777777777777</v>
      </c>
      <c r="J17" s="18">
        <v>0.62291666666666667</v>
      </c>
      <c r="K17" s="13">
        <v>1428</v>
      </c>
      <c r="L17" s="7">
        <v>250</v>
      </c>
      <c r="M17" s="7" t="s">
        <v>130</v>
      </c>
      <c r="N17" s="7" t="s">
        <v>166</v>
      </c>
      <c r="O17" s="19">
        <v>1004.4</v>
      </c>
      <c r="P17" s="7">
        <v>-1</v>
      </c>
      <c r="Q17" s="7">
        <v>15</v>
      </c>
      <c r="R17" s="7">
        <v>302</v>
      </c>
      <c r="S17" s="7">
        <v>100</v>
      </c>
      <c r="T17" s="7">
        <v>4</v>
      </c>
      <c r="U17" s="7">
        <v>1</v>
      </c>
      <c r="X17" s="7" t="s">
        <v>326</v>
      </c>
    </row>
    <row r="18" spans="1:24" x14ac:dyDescent="0.55000000000000004">
      <c r="A18" s="7">
        <v>13</v>
      </c>
      <c r="B18" s="7">
        <v>1</v>
      </c>
      <c r="C18" s="7">
        <v>1</v>
      </c>
      <c r="D18" s="15" t="s">
        <v>161</v>
      </c>
      <c r="E18" s="16">
        <v>77.775400000000005</v>
      </c>
      <c r="F18" s="16"/>
      <c r="G18" s="16">
        <v>174.33260000000001</v>
      </c>
      <c r="H18" s="17" t="s">
        <v>368</v>
      </c>
      <c r="I18" s="18">
        <v>0.92083333333333339</v>
      </c>
      <c r="J18" s="18">
        <v>0.95486111111111116</v>
      </c>
      <c r="K18" s="13">
        <v>1916</v>
      </c>
      <c r="L18" s="7">
        <v>1200</v>
      </c>
      <c r="M18" s="7" t="s">
        <v>111</v>
      </c>
      <c r="N18" s="7" t="s">
        <v>209</v>
      </c>
      <c r="O18" s="19">
        <v>1004.4</v>
      </c>
      <c r="P18" s="7">
        <v>-1.3</v>
      </c>
      <c r="Q18" s="7">
        <v>20.7</v>
      </c>
      <c r="R18" s="7">
        <v>297.7</v>
      </c>
      <c r="S18" s="7">
        <v>100</v>
      </c>
      <c r="T18" s="7">
        <v>1</v>
      </c>
      <c r="U18" s="7">
        <v>1</v>
      </c>
    </row>
    <row r="19" spans="1:24" x14ac:dyDescent="0.55000000000000004">
      <c r="A19" s="7">
        <v>13</v>
      </c>
      <c r="B19" s="7">
        <v>2</v>
      </c>
      <c r="C19" s="7">
        <v>1</v>
      </c>
      <c r="D19" s="15" t="s">
        <v>161</v>
      </c>
      <c r="E19" s="16">
        <v>77.758399999999995</v>
      </c>
      <c r="F19" s="16"/>
      <c r="G19" s="16">
        <v>174.256</v>
      </c>
      <c r="H19" s="17" t="s">
        <v>369</v>
      </c>
      <c r="I19" s="18">
        <v>7.951388888888888E-3</v>
      </c>
      <c r="J19" s="18"/>
      <c r="K19" s="13">
        <v>1950.4</v>
      </c>
      <c r="L19" s="7">
        <v>250</v>
      </c>
      <c r="M19" s="7" t="s">
        <v>299</v>
      </c>
      <c r="O19" s="19">
        <v>1005.2</v>
      </c>
      <c r="P19" s="7">
        <v>-0.3</v>
      </c>
      <c r="Q19" s="7">
        <v>19</v>
      </c>
      <c r="R19" s="7">
        <v>291.39999999999998</v>
      </c>
      <c r="S19" s="7">
        <v>100</v>
      </c>
      <c r="T19" s="7">
        <v>2</v>
      </c>
    </row>
    <row r="20" spans="1:24" x14ac:dyDescent="0.55000000000000004">
      <c r="A20" s="7">
        <v>14</v>
      </c>
      <c r="B20" s="7">
        <v>0</v>
      </c>
      <c r="D20" s="15" t="s">
        <v>162</v>
      </c>
      <c r="E20" s="16">
        <v>78.145700000000005</v>
      </c>
      <c r="F20" s="16"/>
      <c r="G20" s="16">
        <v>172.25049999999999</v>
      </c>
      <c r="H20" s="17"/>
      <c r="I20" s="18"/>
      <c r="J20" s="18"/>
      <c r="K20" s="13"/>
      <c r="L20" s="7">
        <v>1200</v>
      </c>
      <c r="M20" s="7" t="s">
        <v>141</v>
      </c>
      <c r="N20" s="7" t="s">
        <v>210</v>
      </c>
      <c r="O20" s="19">
        <v>1004.2</v>
      </c>
      <c r="P20" s="7">
        <v>-0.3</v>
      </c>
      <c r="Q20" s="7">
        <v>23.4</v>
      </c>
      <c r="R20" s="7">
        <v>283.8</v>
      </c>
      <c r="S20" s="7">
        <v>99.9</v>
      </c>
      <c r="X20" s="7" t="s">
        <v>370</v>
      </c>
    </row>
    <row r="21" spans="1:24" x14ac:dyDescent="0.55000000000000004">
      <c r="A21" s="7">
        <v>14</v>
      </c>
      <c r="B21" s="7">
        <v>1</v>
      </c>
      <c r="C21" s="7">
        <v>1</v>
      </c>
      <c r="D21" s="15" t="s">
        <v>162</v>
      </c>
      <c r="E21" s="16">
        <v>78.135099999999994</v>
      </c>
      <c r="F21" s="16"/>
      <c r="G21" s="16">
        <v>172.24039999999999</v>
      </c>
      <c r="H21" s="17" t="s">
        <v>371</v>
      </c>
      <c r="I21" s="18">
        <v>2.7777777777777779E-3</v>
      </c>
      <c r="J21" s="18">
        <v>3.5416666666666666E-2</v>
      </c>
      <c r="K21" s="13">
        <v>2243</v>
      </c>
      <c r="L21" s="7">
        <v>1200</v>
      </c>
      <c r="M21" s="7" t="s">
        <v>372</v>
      </c>
      <c r="N21" s="7" t="s">
        <v>373</v>
      </c>
      <c r="O21" s="19">
        <v>1007.1</v>
      </c>
      <c r="P21" s="7">
        <v>-1.8</v>
      </c>
      <c r="Q21" s="7">
        <v>22.2</v>
      </c>
      <c r="R21" s="7">
        <v>269.39999999999998</v>
      </c>
      <c r="S21" s="7">
        <v>100</v>
      </c>
      <c r="T21" s="7">
        <v>6</v>
      </c>
      <c r="U21" s="7">
        <v>1</v>
      </c>
    </row>
    <row r="22" spans="1:24" x14ac:dyDescent="0.55000000000000004">
      <c r="A22" s="7">
        <v>15</v>
      </c>
      <c r="B22" s="7">
        <v>1</v>
      </c>
      <c r="C22" s="7">
        <v>1</v>
      </c>
      <c r="D22" s="15" t="s">
        <v>162</v>
      </c>
      <c r="E22" s="16">
        <v>78.493700000000004</v>
      </c>
      <c r="F22" s="16"/>
      <c r="G22" s="16">
        <v>170.11660000000001</v>
      </c>
      <c r="H22" s="17" t="s">
        <v>410</v>
      </c>
      <c r="I22" s="18">
        <v>0.56597222222222221</v>
      </c>
      <c r="J22" s="18"/>
      <c r="K22" s="13">
        <v>2744</v>
      </c>
      <c r="L22" s="7">
        <v>2724</v>
      </c>
      <c r="M22" s="7" t="s">
        <v>130</v>
      </c>
      <c r="N22" s="7" t="s">
        <v>211</v>
      </c>
      <c r="O22" s="19">
        <v>1004.1</v>
      </c>
      <c r="P22" s="7">
        <v>-0.7</v>
      </c>
      <c r="Q22" s="7">
        <v>10</v>
      </c>
      <c r="R22" s="7">
        <v>292</v>
      </c>
      <c r="S22" s="7">
        <v>100</v>
      </c>
      <c r="T22" s="7">
        <v>8</v>
      </c>
      <c r="U22" s="7">
        <v>1</v>
      </c>
    </row>
    <row r="23" spans="1:24" x14ac:dyDescent="0.55000000000000004">
      <c r="A23" s="7">
        <v>15</v>
      </c>
      <c r="B23" s="7">
        <v>2</v>
      </c>
      <c r="C23" s="7">
        <v>1</v>
      </c>
      <c r="D23" s="15" t="s">
        <v>162</v>
      </c>
      <c r="E23" s="16">
        <v>78.445999999999998</v>
      </c>
      <c r="F23" s="16"/>
      <c r="G23" s="16">
        <v>170.00700000000001</v>
      </c>
      <c r="H23" s="17" t="s">
        <v>411</v>
      </c>
      <c r="I23" s="18">
        <v>0.70138888888888884</v>
      </c>
      <c r="J23" s="18"/>
      <c r="K23" s="13">
        <v>2741</v>
      </c>
      <c r="L23" s="7">
        <v>255</v>
      </c>
      <c r="M23" s="7" t="s">
        <v>412</v>
      </c>
      <c r="N23" s="7" t="s">
        <v>413</v>
      </c>
      <c r="O23" s="19">
        <v>1005.4</v>
      </c>
      <c r="P23" s="7">
        <v>-0.8</v>
      </c>
      <c r="Q23" s="7">
        <v>14</v>
      </c>
      <c r="R23" s="7">
        <v>289</v>
      </c>
      <c r="S23" s="7">
        <v>100</v>
      </c>
      <c r="T23" s="7">
        <v>8</v>
      </c>
    </row>
    <row r="24" spans="1:24" x14ac:dyDescent="0.55000000000000004">
      <c r="A24" s="7">
        <v>16</v>
      </c>
      <c r="B24" s="7">
        <v>1</v>
      </c>
      <c r="C24" s="7">
        <v>1</v>
      </c>
      <c r="D24" s="15" t="s">
        <v>415</v>
      </c>
      <c r="E24" s="16">
        <v>77.089500000000001</v>
      </c>
      <c r="F24" s="16">
        <v>179.2097</v>
      </c>
      <c r="H24" s="17" t="s">
        <v>417</v>
      </c>
      <c r="I24" s="18">
        <v>0.85972222222222217</v>
      </c>
      <c r="J24" s="18">
        <v>0.86319444444444438</v>
      </c>
      <c r="K24" s="13">
        <v>1055.9000000000001</v>
      </c>
      <c r="L24" s="7">
        <v>1045</v>
      </c>
      <c r="M24" s="7" t="s">
        <v>299</v>
      </c>
      <c r="O24" s="19">
        <v>1004</v>
      </c>
      <c r="P24" s="7">
        <v>-0.9</v>
      </c>
      <c r="Q24" s="7">
        <v>21.9</v>
      </c>
      <c r="R24" s="7">
        <v>167.1</v>
      </c>
      <c r="S24" s="7">
        <v>100</v>
      </c>
      <c r="T24" s="7">
        <v>1</v>
      </c>
      <c r="U24" s="7">
        <v>1</v>
      </c>
      <c r="V24" s="7">
        <v>1</v>
      </c>
    </row>
    <row r="25" spans="1:24" x14ac:dyDescent="0.55000000000000004">
      <c r="A25" s="7">
        <v>17</v>
      </c>
      <c r="B25" s="7">
        <v>1</v>
      </c>
      <c r="C25" s="7">
        <v>1</v>
      </c>
      <c r="D25" s="15" t="s">
        <v>418</v>
      </c>
      <c r="E25" s="16">
        <v>77.483599999999996</v>
      </c>
      <c r="F25" s="16">
        <v>178.26140000000001</v>
      </c>
      <c r="G25" s="16"/>
      <c r="H25" s="17" t="s">
        <v>419</v>
      </c>
      <c r="I25" s="18">
        <v>0.10694444444444444</v>
      </c>
      <c r="J25" s="18">
        <v>0.14583333333333334</v>
      </c>
      <c r="K25" s="13">
        <v>1238.8</v>
      </c>
      <c r="L25" s="7">
        <v>1226</v>
      </c>
      <c r="M25" s="7" t="s">
        <v>111</v>
      </c>
      <c r="N25" s="7" t="s">
        <v>420</v>
      </c>
      <c r="O25" s="19">
        <v>1002</v>
      </c>
      <c r="P25" s="7">
        <v>-0.7</v>
      </c>
      <c r="Q25" s="7">
        <v>20.7</v>
      </c>
      <c r="R25" s="7">
        <v>177</v>
      </c>
      <c r="S25" s="7">
        <v>100</v>
      </c>
      <c r="T25" s="7">
        <v>0</v>
      </c>
      <c r="U25" s="7">
        <v>1</v>
      </c>
    </row>
    <row r="26" spans="1:24" x14ac:dyDescent="0.55000000000000004">
      <c r="A26" s="7">
        <v>18</v>
      </c>
      <c r="B26" s="7">
        <v>1</v>
      </c>
      <c r="C26" s="7">
        <v>1</v>
      </c>
      <c r="D26" s="15" t="s">
        <v>418</v>
      </c>
      <c r="E26" s="16">
        <v>77.866600000000005</v>
      </c>
      <c r="F26" s="16">
        <v>177.26259999999999</v>
      </c>
      <c r="G26" s="16"/>
      <c r="H26" s="17" t="s">
        <v>465</v>
      </c>
      <c r="I26" s="18"/>
      <c r="J26" s="18"/>
      <c r="K26" s="13">
        <v>1548.3</v>
      </c>
      <c r="L26" s="7">
        <v>1200</v>
      </c>
      <c r="M26" s="7" t="s">
        <v>299</v>
      </c>
      <c r="N26" s="7" t="s">
        <v>466</v>
      </c>
      <c r="O26" s="19">
        <v>999.9</v>
      </c>
      <c r="P26" s="7">
        <v>-1.3</v>
      </c>
      <c r="Q26" s="7">
        <v>18.600000000000001</v>
      </c>
      <c r="R26" s="7">
        <v>174.1</v>
      </c>
      <c r="S26" s="7">
        <v>100</v>
      </c>
      <c r="T26" s="7">
        <v>0</v>
      </c>
      <c r="U26" s="7">
        <v>1</v>
      </c>
      <c r="X26" s="7" t="s">
        <v>468</v>
      </c>
    </row>
    <row r="27" spans="1:24" x14ac:dyDescent="0.55000000000000004">
      <c r="A27" s="7">
        <v>19</v>
      </c>
      <c r="B27" s="7">
        <v>1</v>
      </c>
      <c r="C27" s="7">
        <v>1</v>
      </c>
      <c r="D27" s="15" t="s">
        <v>418</v>
      </c>
      <c r="E27" s="16">
        <v>78.252700000000004</v>
      </c>
      <c r="F27" s="16">
        <v>176.18279999999999</v>
      </c>
      <c r="G27" s="16"/>
      <c r="H27" s="17" t="s">
        <v>565</v>
      </c>
      <c r="I27" s="18">
        <v>0.54166666666666663</v>
      </c>
      <c r="J27" s="18">
        <v>0.56041666666666667</v>
      </c>
      <c r="K27" s="13">
        <v>1847</v>
      </c>
      <c r="L27" s="7">
        <v>1200</v>
      </c>
      <c r="M27" s="7" t="s">
        <v>130</v>
      </c>
      <c r="N27" s="7" t="s">
        <v>467</v>
      </c>
      <c r="O27" s="19">
        <v>998.4</v>
      </c>
      <c r="P27" s="7">
        <v>-0.7</v>
      </c>
      <c r="Q27" s="7">
        <v>20</v>
      </c>
      <c r="R27" s="7">
        <v>185</v>
      </c>
      <c r="S27" s="7">
        <v>100</v>
      </c>
      <c r="T27" s="7">
        <v>0</v>
      </c>
      <c r="U27" s="7">
        <v>1</v>
      </c>
      <c r="X27" s="7" t="s">
        <v>566</v>
      </c>
    </row>
    <row r="28" spans="1:24" x14ac:dyDescent="0.55000000000000004">
      <c r="A28" s="7">
        <v>20</v>
      </c>
      <c r="B28" s="7">
        <v>1</v>
      </c>
      <c r="C28" s="7">
        <v>1</v>
      </c>
      <c r="D28" s="15" t="s">
        <v>418</v>
      </c>
      <c r="E28" s="16">
        <v>78.628200000000007</v>
      </c>
      <c r="F28" s="16">
        <v>175.04910000000001</v>
      </c>
      <c r="G28" s="16"/>
      <c r="H28" s="17" t="s">
        <v>509</v>
      </c>
      <c r="I28" s="18">
        <v>0.72083333333333333</v>
      </c>
      <c r="J28" s="18">
        <v>0.75347222222222221</v>
      </c>
      <c r="K28" s="13">
        <v>2103</v>
      </c>
      <c r="L28" s="7">
        <v>1201</v>
      </c>
      <c r="M28" s="7" t="s">
        <v>227</v>
      </c>
      <c r="O28" s="19">
        <v>998.1</v>
      </c>
      <c r="P28" s="7">
        <v>-0.1</v>
      </c>
      <c r="Q28" s="7">
        <v>17</v>
      </c>
      <c r="R28" s="7">
        <v>192</v>
      </c>
      <c r="S28" s="7">
        <v>100</v>
      </c>
      <c r="T28" s="7">
        <v>0</v>
      </c>
      <c r="U28" s="7">
        <v>1</v>
      </c>
    </row>
    <row r="29" spans="1:24" x14ac:dyDescent="0.55000000000000004">
      <c r="A29" s="7">
        <v>21</v>
      </c>
      <c r="B29" s="7">
        <v>1</v>
      </c>
      <c r="C29" s="7">
        <v>1</v>
      </c>
      <c r="D29" s="15" t="s">
        <v>418</v>
      </c>
      <c r="E29" s="16">
        <v>78.993600000000001</v>
      </c>
      <c r="F29" s="16">
        <v>173.8228</v>
      </c>
      <c r="G29" s="16"/>
      <c r="H29" s="17" t="s">
        <v>510</v>
      </c>
      <c r="I29" s="18"/>
      <c r="J29" s="18"/>
      <c r="K29" s="13">
        <v>2494</v>
      </c>
      <c r="L29" s="7">
        <v>250</v>
      </c>
      <c r="M29" s="7" t="s">
        <v>511</v>
      </c>
      <c r="N29" s="7" t="s">
        <v>512</v>
      </c>
      <c r="O29" s="19">
        <v>1001</v>
      </c>
      <c r="P29" s="7">
        <v>0.2</v>
      </c>
      <c r="Q29" s="7">
        <v>13.7</v>
      </c>
      <c r="R29" s="7">
        <v>203.8</v>
      </c>
      <c r="S29" s="7">
        <v>100</v>
      </c>
      <c r="T29" s="7">
        <v>0</v>
      </c>
      <c r="U29" s="7">
        <v>1</v>
      </c>
      <c r="X29" s="7" t="s">
        <v>513</v>
      </c>
    </row>
    <row r="30" spans="1:24" x14ac:dyDescent="0.55000000000000004">
      <c r="A30" s="7">
        <v>21</v>
      </c>
      <c r="B30" s="7">
        <v>2</v>
      </c>
      <c r="C30" s="7">
        <v>1</v>
      </c>
      <c r="D30" s="15" t="s">
        <v>418</v>
      </c>
      <c r="E30" s="16">
        <v>78.990600000000001</v>
      </c>
      <c r="F30" s="16">
        <v>173.7955</v>
      </c>
      <c r="G30" s="16"/>
      <c r="H30" s="17" t="s">
        <v>541</v>
      </c>
      <c r="I30" s="18">
        <v>1.0416666666666666E-2</v>
      </c>
      <c r="J30" s="18">
        <v>6.25E-2</v>
      </c>
      <c r="K30" s="13">
        <v>2493</v>
      </c>
      <c r="L30" s="7">
        <v>2488.6999999999998</v>
      </c>
      <c r="M30" s="7" t="s">
        <v>511</v>
      </c>
      <c r="N30" s="7" t="s">
        <v>542</v>
      </c>
      <c r="O30" s="19">
        <v>1001.5</v>
      </c>
      <c r="P30" s="7">
        <v>0.2</v>
      </c>
      <c r="Q30" s="7">
        <v>13.1</v>
      </c>
      <c r="R30" s="7">
        <v>194</v>
      </c>
      <c r="S30" s="7">
        <v>100</v>
      </c>
      <c r="T30" s="7">
        <v>0</v>
      </c>
    </row>
    <row r="31" spans="1:24" x14ac:dyDescent="0.55000000000000004">
      <c r="A31" s="7">
        <v>22</v>
      </c>
      <c r="B31" s="7">
        <v>1</v>
      </c>
      <c r="C31" s="7">
        <v>1</v>
      </c>
      <c r="D31" s="15" t="s">
        <v>570</v>
      </c>
      <c r="E31" s="16">
        <v>79.359800000000007</v>
      </c>
      <c r="F31" s="16">
        <v>171.55500000000001</v>
      </c>
      <c r="G31" s="16"/>
      <c r="H31" s="17" t="s">
        <v>571</v>
      </c>
      <c r="I31" s="18">
        <v>0.25347222222222221</v>
      </c>
      <c r="J31" s="18"/>
      <c r="K31" s="13">
        <v>2641</v>
      </c>
      <c r="L31" s="7">
        <v>1200</v>
      </c>
      <c r="M31" s="7" t="s">
        <v>111</v>
      </c>
      <c r="N31" s="7" t="s">
        <v>572</v>
      </c>
      <c r="O31" s="19">
        <v>1003.8</v>
      </c>
      <c r="P31" s="7">
        <v>-0.2</v>
      </c>
      <c r="Q31" s="7">
        <v>14.6</v>
      </c>
      <c r="R31" s="7">
        <v>206.7</v>
      </c>
      <c r="S31" s="7">
        <v>100</v>
      </c>
      <c r="T31" s="7">
        <v>0</v>
      </c>
      <c r="U31" s="7">
        <v>1</v>
      </c>
      <c r="X31" s="7" t="s">
        <v>595</v>
      </c>
    </row>
    <row r="32" spans="1:24" x14ac:dyDescent="0.55000000000000004">
      <c r="A32" s="7">
        <v>23</v>
      </c>
      <c r="B32" s="7">
        <v>1</v>
      </c>
      <c r="C32" s="7">
        <v>1</v>
      </c>
      <c r="D32" s="15" t="s">
        <v>596</v>
      </c>
      <c r="E32" s="16">
        <v>79.715000000000003</v>
      </c>
      <c r="F32" s="16">
        <v>169.14189999999999</v>
      </c>
      <c r="G32" s="16"/>
      <c r="H32" s="17" t="s">
        <v>597</v>
      </c>
      <c r="I32" s="18">
        <v>0.18680555555555556</v>
      </c>
      <c r="J32" s="18">
        <v>0.21875</v>
      </c>
      <c r="K32" s="13">
        <v>2695.7</v>
      </c>
      <c r="L32" s="7">
        <v>1200</v>
      </c>
      <c r="M32" s="7" t="s">
        <v>598</v>
      </c>
      <c r="N32" s="7" t="s">
        <v>573</v>
      </c>
      <c r="O32" s="19">
        <v>1002.2</v>
      </c>
      <c r="P32" s="7">
        <v>-0.8</v>
      </c>
      <c r="Q32" s="7">
        <v>20.7</v>
      </c>
      <c r="R32" s="7">
        <v>197</v>
      </c>
      <c r="S32" s="7">
        <v>100</v>
      </c>
      <c r="T32" s="7">
        <v>0</v>
      </c>
      <c r="U32" s="7">
        <v>1</v>
      </c>
      <c r="X32" s="7" t="s">
        <v>599</v>
      </c>
    </row>
    <row r="33" spans="1:24" x14ac:dyDescent="0.55000000000000004">
      <c r="A33" s="7">
        <v>24</v>
      </c>
      <c r="B33" s="7">
        <v>1</v>
      </c>
      <c r="C33" s="7">
        <v>1</v>
      </c>
      <c r="D33" s="15"/>
      <c r="E33" s="16"/>
      <c r="F33" s="16"/>
      <c r="G33" s="16"/>
      <c r="H33" s="17"/>
      <c r="I33" s="18"/>
      <c r="J33" s="18"/>
      <c r="K33" s="13"/>
      <c r="O33" s="19"/>
    </row>
    <row r="34" spans="1:24" x14ac:dyDescent="0.55000000000000004">
      <c r="A34" s="7">
        <v>25</v>
      </c>
      <c r="B34" s="7">
        <v>1</v>
      </c>
      <c r="C34" s="7">
        <v>1</v>
      </c>
      <c r="D34" s="15" t="s">
        <v>596</v>
      </c>
      <c r="E34" s="16">
        <v>80.363699999999994</v>
      </c>
      <c r="F34" s="16">
        <v>163.9272</v>
      </c>
      <c r="G34" s="16"/>
      <c r="H34" s="17" t="s">
        <v>622</v>
      </c>
      <c r="I34" s="18">
        <v>0.61458333333333337</v>
      </c>
      <c r="J34" s="18">
        <v>0.64861111111111114</v>
      </c>
      <c r="K34" s="13">
        <v>2765</v>
      </c>
      <c r="L34" s="7">
        <v>1200</v>
      </c>
      <c r="M34" s="7" t="s">
        <v>130</v>
      </c>
      <c r="N34" s="7" t="s">
        <v>623</v>
      </c>
      <c r="O34" s="19">
        <v>1000.2</v>
      </c>
      <c r="P34" s="7">
        <v>-0.3</v>
      </c>
      <c r="Q34" s="7">
        <v>18</v>
      </c>
      <c r="R34" s="7">
        <v>18</v>
      </c>
      <c r="S34" s="7">
        <v>100</v>
      </c>
      <c r="T34" s="7">
        <v>0</v>
      </c>
      <c r="U34" s="7">
        <v>1</v>
      </c>
      <c r="X34" s="7" t="s">
        <v>624</v>
      </c>
    </row>
    <row r="35" spans="1:24" x14ac:dyDescent="0.55000000000000004">
      <c r="A35" s="7">
        <v>26</v>
      </c>
      <c r="B35" s="7">
        <v>1</v>
      </c>
      <c r="C35" s="7">
        <v>1</v>
      </c>
      <c r="D35" s="15" t="s">
        <v>648</v>
      </c>
      <c r="E35" s="16">
        <v>80.650700000000001</v>
      </c>
      <c r="F35" s="16">
        <v>161.1996</v>
      </c>
      <c r="G35" s="16"/>
      <c r="H35" s="17" t="s">
        <v>649</v>
      </c>
      <c r="I35" s="18">
        <v>0.76736111111111116</v>
      </c>
      <c r="J35" s="18">
        <v>0.82361111111111107</v>
      </c>
      <c r="K35" s="13">
        <v>2788</v>
      </c>
      <c r="L35" s="7">
        <v>2774</v>
      </c>
      <c r="M35" s="7" t="s">
        <v>227</v>
      </c>
      <c r="N35" s="7" t="s">
        <v>650</v>
      </c>
      <c r="O35" s="19">
        <v>1002.4</v>
      </c>
      <c r="P35" s="7">
        <v>-0.9</v>
      </c>
      <c r="Q35" s="7">
        <v>8.5</v>
      </c>
      <c r="R35" s="7">
        <v>170.3</v>
      </c>
      <c r="S35" s="7">
        <v>100</v>
      </c>
      <c r="T35" s="7">
        <v>8</v>
      </c>
      <c r="U35" s="7">
        <v>1</v>
      </c>
    </row>
    <row r="36" spans="1:24" x14ac:dyDescent="0.55000000000000004">
      <c r="A36" s="7">
        <v>27</v>
      </c>
      <c r="B36" s="7">
        <v>1</v>
      </c>
      <c r="C36" s="7">
        <v>1</v>
      </c>
      <c r="D36" s="15" t="s">
        <v>694</v>
      </c>
      <c r="E36" s="16">
        <v>80.6571</v>
      </c>
      <c r="F36" s="16">
        <v>157.60759999999999</v>
      </c>
      <c r="G36" s="16"/>
      <c r="H36" s="17" t="s">
        <v>695</v>
      </c>
      <c r="I36" s="18">
        <v>0.14583333333333334</v>
      </c>
      <c r="J36" s="18">
        <v>0.18680555555555556</v>
      </c>
      <c r="K36" s="13"/>
      <c r="L36" s="7">
        <v>1200</v>
      </c>
      <c r="M36" s="7" t="s">
        <v>372</v>
      </c>
      <c r="N36" s="7" t="s">
        <v>696</v>
      </c>
      <c r="O36" s="19">
        <v>1002.9</v>
      </c>
      <c r="P36" s="7">
        <v>-1</v>
      </c>
      <c r="Q36" s="7">
        <v>4.7</v>
      </c>
      <c r="R36" s="7">
        <v>153.19999999999999</v>
      </c>
      <c r="S36" s="7">
        <v>100</v>
      </c>
      <c r="T36" s="7">
        <v>1</v>
      </c>
      <c r="U36" s="7">
        <v>1</v>
      </c>
      <c r="V36" s="7">
        <v>1</v>
      </c>
    </row>
    <row r="37" spans="1:24" x14ac:dyDescent="0.55000000000000004">
      <c r="A37" s="7">
        <v>28</v>
      </c>
      <c r="D37" s="15" t="s">
        <v>697</v>
      </c>
      <c r="E37" s="16"/>
      <c r="F37" s="16"/>
      <c r="G37" s="16"/>
      <c r="H37" s="17"/>
      <c r="I37" s="18"/>
      <c r="J37" s="18"/>
      <c r="K37" s="13"/>
      <c r="M37" s="7" t="s">
        <v>698</v>
      </c>
      <c r="O37" s="19">
        <v>1000.4</v>
      </c>
      <c r="P37" s="7">
        <v>-1.5</v>
      </c>
      <c r="Q37" s="7">
        <v>5.5</v>
      </c>
      <c r="R37" s="7">
        <v>33.4</v>
      </c>
      <c r="S37" s="7">
        <v>100</v>
      </c>
      <c r="T37" s="7">
        <v>7</v>
      </c>
      <c r="U37" s="7">
        <v>1</v>
      </c>
      <c r="X37" s="7" t="s">
        <v>699</v>
      </c>
    </row>
    <row r="38" spans="1:24" x14ac:dyDescent="0.55000000000000004">
      <c r="A38" s="7">
        <v>29</v>
      </c>
      <c r="D38" s="15" t="s">
        <v>697</v>
      </c>
      <c r="E38" s="16"/>
      <c r="F38" s="16"/>
      <c r="G38" s="16"/>
      <c r="H38" s="17"/>
      <c r="I38" s="18"/>
      <c r="J38" s="18"/>
      <c r="K38" s="13"/>
      <c r="M38" s="7" t="s">
        <v>698</v>
      </c>
      <c r="O38" s="20">
        <v>999.9</v>
      </c>
      <c r="P38" s="7">
        <v>-1.8</v>
      </c>
      <c r="Q38" s="7">
        <v>8.1</v>
      </c>
      <c r="R38" s="7">
        <v>50</v>
      </c>
      <c r="S38" s="7">
        <v>100</v>
      </c>
      <c r="T38" s="7">
        <v>0</v>
      </c>
      <c r="U38" s="7">
        <v>1</v>
      </c>
      <c r="X38" s="7" t="s">
        <v>719</v>
      </c>
    </row>
    <row r="39" spans="1:24" x14ac:dyDescent="0.55000000000000004">
      <c r="A39" s="7">
        <v>30</v>
      </c>
      <c r="B39" s="7">
        <v>1</v>
      </c>
      <c r="C39" s="7">
        <v>1</v>
      </c>
      <c r="D39" s="15" t="s">
        <v>697</v>
      </c>
      <c r="E39" s="16">
        <v>80.408699999999996</v>
      </c>
      <c r="F39" s="16">
        <v>147.50049999999999</v>
      </c>
      <c r="G39" s="16"/>
      <c r="H39" s="17" t="s">
        <v>720</v>
      </c>
      <c r="I39" s="18">
        <v>0.14791666666666667</v>
      </c>
      <c r="J39" s="18">
        <v>0.19444444444444445</v>
      </c>
      <c r="K39" s="13">
        <v>1807</v>
      </c>
      <c r="L39" s="7">
        <v>1795</v>
      </c>
      <c r="M39" s="7" t="s">
        <v>721</v>
      </c>
      <c r="N39" s="7" t="s">
        <v>722</v>
      </c>
      <c r="O39" s="20">
        <v>1000.1</v>
      </c>
      <c r="P39" s="7">
        <v>-1.3</v>
      </c>
      <c r="Q39" s="7">
        <v>5.8</v>
      </c>
      <c r="R39" s="7">
        <v>1.4</v>
      </c>
      <c r="S39" s="7">
        <v>100</v>
      </c>
      <c r="T39" s="7">
        <v>0</v>
      </c>
      <c r="U39" s="7">
        <v>1</v>
      </c>
      <c r="X39" s="7" t="s">
        <v>723</v>
      </c>
    </row>
    <row r="40" spans="1:24" x14ac:dyDescent="0.55000000000000004">
      <c r="A40" s="7">
        <v>31</v>
      </c>
      <c r="B40" s="7">
        <v>1</v>
      </c>
      <c r="C40" s="7">
        <v>1</v>
      </c>
      <c r="D40" s="15" t="s">
        <v>724</v>
      </c>
      <c r="E40" s="16">
        <v>80.191400000000002</v>
      </c>
      <c r="F40" s="16">
        <v>144.8964</v>
      </c>
      <c r="G40" s="16"/>
      <c r="H40" s="17" t="s">
        <v>725</v>
      </c>
      <c r="I40" s="18">
        <v>0.40138888888888885</v>
      </c>
      <c r="J40" s="18">
        <v>0.43958333333333338</v>
      </c>
      <c r="K40" s="13">
        <v>1505</v>
      </c>
      <c r="L40" s="7">
        <v>1200</v>
      </c>
      <c r="M40" s="7" t="s">
        <v>130</v>
      </c>
      <c r="N40" s="7" t="s">
        <v>726</v>
      </c>
      <c r="O40" s="20">
        <v>999.6</v>
      </c>
      <c r="P40" s="7">
        <v>-1.5</v>
      </c>
      <c r="Q40" s="7">
        <v>2.1</v>
      </c>
      <c r="R40" s="7">
        <v>303</v>
      </c>
      <c r="S40" s="7">
        <v>100</v>
      </c>
      <c r="T40" s="7">
        <v>6</v>
      </c>
      <c r="U40" s="7">
        <v>1</v>
      </c>
    </row>
    <row r="41" spans="1:24" x14ac:dyDescent="0.55000000000000004">
      <c r="A41" s="7">
        <v>32</v>
      </c>
      <c r="B41" s="7">
        <v>1</v>
      </c>
      <c r="C41" s="7">
        <v>1</v>
      </c>
      <c r="D41" s="15" t="s">
        <v>724</v>
      </c>
      <c r="E41" s="16">
        <v>79.947199999999995</v>
      </c>
      <c r="F41" s="16">
        <v>142.2491</v>
      </c>
      <c r="G41" s="16"/>
      <c r="H41" s="17" t="s">
        <v>727</v>
      </c>
      <c r="I41" s="18">
        <v>0.97083333333333333</v>
      </c>
      <c r="J41" s="18">
        <v>0.9819444444444444</v>
      </c>
      <c r="K41" s="13">
        <v>1377</v>
      </c>
      <c r="L41" s="7">
        <v>250</v>
      </c>
      <c r="M41" s="7" t="s">
        <v>372</v>
      </c>
      <c r="N41" s="7" t="s">
        <v>728</v>
      </c>
      <c r="O41" s="20">
        <v>998.5</v>
      </c>
      <c r="P41" s="7">
        <v>-2.5</v>
      </c>
      <c r="Q41" s="7">
        <v>9.1999999999999993</v>
      </c>
      <c r="R41" s="7">
        <v>289</v>
      </c>
      <c r="S41" s="7">
        <v>100</v>
      </c>
      <c r="T41" s="7">
        <v>6</v>
      </c>
      <c r="U41" s="7">
        <v>1</v>
      </c>
      <c r="W41" s="7">
        <v>1</v>
      </c>
    </row>
    <row r="42" spans="1:24" x14ac:dyDescent="0.55000000000000004">
      <c r="A42" s="7">
        <v>32</v>
      </c>
      <c r="B42" s="7">
        <v>2</v>
      </c>
      <c r="C42" s="7">
        <v>1</v>
      </c>
      <c r="D42" s="15" t="s">
        <v>645</v>
      </c>
      <c r="E42" s="16">
        <v>79.944699999999997</v>
      </c>
      <c r="F42" s="16">
        <v>142.2816</v>
      </c>
      <c r="G42" s="16"/>
      <c r="H42" s="17" t="s">
        <v>729</v>
      </c>
      <c r="I42" s="18">
        <v>4.3055555555555562E-2</v>
      </c>
      <c r="J42" s="18">
        <v>8.819444444444445E-2</v>
      </c>
      <c r="K42" s="13">
        <v>1360</v>
      </c>
      <c r="L42" s="7">
        <v>1355</v>
      </c>
      <c r="M42" s="7" t="s">
        <v>511</v>
      </c>
      <c r="N42" s="7" t="s">
        <v>730</v>
      </c>
      <c r="O42" s="20">
        <v>998.8</v>
      </c>
      <c r="P42" s="7">
        <v>-2.5</v>
      </c>
      <c r="Q42" s="7">
        <v>10.199999999999999</v>
      </c>
      <c r="R42" s="7">
        <v>285.3</v>
      </c>
      <c r="S42" s="7">
        <v>100</v>
      </c>
      <c r="T42" s="7">
        <v>7</v>
      </c>
      <c r="W42" s="7">
        <v>1</v>
      </c>
      <c r="X42" s="7" t="s">
        <v>731</v>
      </c>
    </row>
    <row r="43" spans="1:24" x14ac:dyDescent="0.55000000000000004">
      <c r="A43" s="7">
        <v>33</v>
      </c>
      <c r="B43" s="7">
        <v>1</v>
      </c>
      <c r="C43" s="7">
        <v>1</v>
      </c>
      <c r="D43" s="15" t="s">
        <v>645</v>
      </c>
      <c r="E43" s="16">
        <v>79.848600000000005</v>
      </c>
      <c r="F43" s="16">
        <v>140.0889</v>
      </c>
      <c r="G43" s="16"/>
      <c r="H43" s="17" t="s">
        <v>646</v>
      </c>
      <c r="I43" s="18">
        <v>0.56944444444444442</v>
      </c>
      <c r="J43" s="18">
        <v>0.60763888888888895</v>
      </c>
      <c r="K43" s="13">
        <v>1944</v>
      </c>
      <c r="L43" s="7">
        <v>1200</v>
      </c>
      <c r="M43" s="7" t="s">
        <v>130</v>
      </c>
      <c r="N43" s="7" t="s">
        <v>647</v>
      </c>
      <c r="O43" s="20">
        <v>997.8</v>
      </c>
      <c r="P43" s="7">
        <v>-2.6</v>
      </c>
      <c r="Q43" s="7">
        <v>8</v>
      </c>
      <c r="R43" s="7">
        <v>262</v>
      </c>
      <c r="S43" s="7">
        <v>100</v>
      </c>
      <c r="T43" s="7">
        <v>7</v>
      </c>
      <c r="U43" s="7">
        <v>1</v>
      </c>
    </row>
    <row r="44" spans="1:24" x14ac:dyDescent="0.55000000000000004">
      <c r="A44" s="7">
        <v>34</v>
      </c>
      <c r="B44" s="7">
        <v>1</v>
      </c>
      <c r="C44" s="7">
        <v>1</v>
      </c>
      <c r="D44" s="15" t="s">
        <v>645</v>
      </c>
      <c r="E44" s="16">
        <v>79.743399999999994</v>
      </c>
      <c r="F44" s="16">
        <v>137.88640000000001</v>
      </c>
      <c r="G44" s="16"/>
      <c r="H44" s="17" t="s">
        <v>732</v>
      </c>
      <c r="I44" s="18"/>
      <c r="J44" s="18"/>
      <c r="K44" s="13">
        <v>2782</v>
      </c>
      <c r="L44" s="7" t="s">
        <v>733</v>
      </c>
      <c r="M44" s="7" t="s">
        <v>372</v>
      </c>
      <c r="N44" s="7" t="s">
        <v>734</v>
      </c>
      <c r="O44" s="20">
        <v>998.5</v>
      </c>
      <c r="P44" s="7">
        <v>-2</v>
      </c>
      <c r="Q44" s="7">
        <v>2</v>
      </c>
      <c r="R44" s="7">
        <v>266</v>
      </c>
      <c r="S44" s="7">
        <v>100</v>
      </c>
      <c r="T44" s="7">
        <v>8</v>
      </c>
      <c r="U44" s="7">
        <v>1</v>
      </c>
      <c r="V44" s="7">
        <v>1</v>
      </c>
      <c r="W44" s="7">
        <v>1</v>
      </c>
      <c r="X44" s="7" t="s">
        <v>735</v>
      </c>
    </row>
    <row r="45" spans="1:24" x14ac:dyDescent="0.55000000000000004">
      <c r="A45" s="7">
        <v>35</v>
      </c>
      <c r="D45" s="15"/>
      <c r="E45" s="16"/>
      <c r="F45" s="16"/>
      <c r="G45" s="16"/>
      <c r="H45" s="17"/>
      <c r="I45" s="15"/>
      <c r="J45" s="15"/>
      <c r="K45" s="21"/>
      <c r="L45" s="9"/>
      <c r="O45" s="20"/>
      <c r="X45" s="7" t="s">
        <v>737</v>
      </c>
    </row>
    <row r="46" spans="1:24" x14ac:dyDescent="0.55000000000000004">
      <c r="A46" s="7">
        <v>36</v>
      </c>
      <c r="D46" s="15"/>
      <c r="E46" s="16"/>
      <c r="F46" s="16"/>
      <c r="G46" s="16"/>
      <c r="H46" s="17"/>
      <c r="I46" s="18"/>
      <c r="J46" s="18"/>
      <c r="K46" s="13"/>
      <c r="L46" s="8"/>
      <c r="M46" s="7" t="s">
        <v>698</v>
      </c>
      <c r="O46" s="20">
        <v>1003.6</v>
      </c>
      <c r="P46" s="7">
        <v>-2</v>
      </c>
      <c r="Q46" s="7">
        <v>3.3</v>
      </c>
      <c r="R46" s="7">
        <v>340.9</v>
      </c>
      <c r="S46" s="7">
        <v>100</v>
      </c>
      <c r="T46" s="7">
        <v>10</v>
      </c>
      <c r="U46" s="7">
        <v>1</v>
      </c>
      <c r="X46" s="7" t="s">
        <v>736</v>
      </c>
    </row>
    <row r="47" spans="1:24" x14ac:dyDescent="0.55000000000000004">
      <c r="A47" s="7">
        <v>37</v>
      </c>
      <c r="B47" s="7">
        <v>1</v>
      </c>
      <c r="C47" s="7">
        <v>1</v>
      </c>
      <c r="D47" s="15"/>
      <c r="E47" s="16">
        <v>79.223100000000002</v>
      </c>
      <c r="F47" s="16">
        <v>130.07060000000001</v>
      </c>
      <c r="G47" s="16"/>
      <c r="H47" s="17" t="s">
        <v>738</v>
      </c>
      <c r="I47" s="18">
        <v>9.7222222222222224E-2</v>
      </c>
      <c r="J47" s="18">
        <v>0.125</v>
      </c>
      <c r="K47" s="13">
        <v>3151</v>
      </c>
      <c r="L47" s="8">
        <v>1200</v>
      </c>
      <c r="M47" s="7" t="s">
        <v>598</v>
      </c>
      <c r="O47" s="20">
        <v>1006.7</v>
      </c>
      <c r="P47" s="7">
        <v>-2.2000000000000002</v>
      </c>
      <c r="Q47" s="7">
        <v>1.4</v>
      </c>
      <c r="R47" s="7">
        <v>120</v>
      </c>
      <c r="S47" s="7">
        <v>100</v>
      </c>
      <c r="T47" s="7">
        <v>5</v>
      </c>
      <c r="U47" s="7">
        <v>1</v>
      </c>
      <c r="V47" s="7">
        <v>1</v>
      </c>
      <c r="X47" s="7" t="s">
        <v>859</v>
      </c>
    </row>
    <row r="48" spans="1:24" x14ac:dyDescent="0.55000000000000004">
      <c r="A48" s="7">
        <v>38</v>
      </c>
      <c r="B48" s="7">
        <v>1</v>
      </c>
      <c r="C48" s="7">
        <v>1</v>
      </c>
      <c r="D48" s="15" t="s">
        <v>739</v>
      </c>
      <c r="E48" s="16">
        <v>78.683499999999995</v>
      </c>
      <c r="F48" s="16">
        <v>126.5869</v>
      </c>
      <c r="G48" s="16"/>
      <c r="H48" s="17" t="s">
        <v>740</v>
      </c>
      <c r="I48" s="18">
        <v>0.61249999999999993</v>
      </c>
      <c r="J48" s="18">
        <v>0.67708333333333337</v>
      </c>
      <c r="K48" s="13">
        <v>2869</v>
      </c>
      <c r="L48" s="8">
        <v>2861</v>
      </c>
      <c r="M48" s="7" t="s">
        <v>227</v>
      </c>
      <c r="N48" s="7" t="s">
        <v>722</v>
      </c>
      <c r="O48" s="20">
        <v>1002.9</v>
      </c>
      <c r="P48" s="7">
        <v>-2.7</v>
      </c>
      <c r="Q48" s="7">
        <v>9.1999999999999993</v>
      </c>
      <c r="R48" s="7">
        <v>133.30000000000001</v>
      </c>
      <c r="S48" s="7">
        <v>100</v>
      </c>
      <c r="X48" s="7" t="s">
        <v>741</v>
      </c>
    </row>
    <row r="49" spans="1:24" x14ac:dyDescent="0.55000000000000004">
      <c r="A49" s="7">
        <v>39</v>
      </c>
      <c r="B49" s="7">
        <v>1</v>
      </c>
      <c r="C49" s="7">
        <v>1</v>
      </c>
      <c r="D49" s="15" t="s">
        <v>715</v>
      </c>
      <c r="E49" s="16">
        <v>78.508499999999998</v>
      </c>
      <c r="F49" s="16">
        <v>125.95269999999999</v>
      </c>
      <c r="G49" s="16"/>
      <c r="H49" s="17"/>
      <c r="I49" s="18">
        <v>0.10208333333333335</v>
      </c>
      <c r="J49" s="18"/>
      <c r="K49" s="13">
        <v>3804</v>
      </c>
      <c r="L49" s="8">
        <v>250</v>
      </c>
      <c r="M49" s="7" t="s">
        <v>511</v>
      </c>
      <c r="N49" s="7" t="s">
        <v>742</v>
      </c>
      <c r="O49" s="20">
        <v>1003</v>
      </c>
      <c r="P49" s="7">
        <v>-2.1</v>
      </c>
      <c r="Q49" s="7">
        <v>14.3</v>
      </c>
      <c r="R49" s="7">
        <v>106.2</v>
      </c>
      <c r="S49" s="7">
        <v>100</v>
      </c>
      <c r="T49" s="7">
        <v>7</v>
      </c>
      <c r="U49" s="7">
        <v>1</v>
      </c>
      <c r="W49" s="7">
        <v>1</v>
      </c>
      <c r="X49" s="7" t="s">
        <v>743</v>
      </c>
    </row>
    <row r="50" spans="1:24" x14ac:dyDescent="0.55000000000000004">
      <c r="A50" s="7">
        <v>40</v>
      </c>
      <c r="B50" s="7">
        <v>1</v>
      </c>
      <c r="C50" s="7">
        <v>1</v>
      </c>
      <c r="D50" s="15" t="s">
        <v>715</v>
      </c>
      <c r="E50" s="16">
        <v>79.087199999999996</v>
      </c>
      <c r="F50" s="16">
        <v>125.923</v>
      </c>
      <c r="G50" s="16"/>
      <c r="H50" s="17" t="s">
        <v>744</v>
      </c>
      <c r="I50" s="18">
        <v>0.74097222222222225</v>
      </c>
      <c r="J50" s="18">
        <v>0.78333333333333333</v>
      </c>
      <c r="K50" s="13">
        <v>2995</v>
      </c>
      <c r="L50" s="8">
        <v>1200</v>
      </c>
      <c r="M50" s="7" t="s">
        <v>227</v>
      </c>
      <c r="N50" s="7" t="s">
        <v>745</v>
      </c>
      <c r="O50" s="20">
        <v>1003.6</v>
      </c>
      <c r="P50" s="7">
        <v>-1.8</v>
      </c>
      <c r="Q50" s="7">
        <v>16</v>
      </c>
      <c r="R50" s="7">
        <v>106</v>
      </c>
      <c r="S50" s="7">
        <v>100</v>
      </c>
      <c r="T50" s="7">
        <v>8</v>
      </c>
      <c r="U50" s="7">
        <v>1</v>
      </c>
      <c r="X50" s="7" t="s">
        <v>746</v>
      </c>
    </row>
    <row r="51" spans="1:24" x14ac:dyDescent="0.55000000000000004">
      <c r="A51" s="7">
        <v>41</v>
      </c>
      <c r="B51" s="7">
        <v>1</v>
      </c>
      <c r="C51" s="7">
        <v>1</v>
      </c>
      <c r="D51" s="15" t="s">
        <v>715</v>
      </c>
      <c r="E51" s="16">
        <v>79.654399999999995</v>
      </c>
      <c r="F51" s="16">
        <v>125.967</v>
      </c>
      <c r="G51" s="16"/>
      <c r="H51" s="17"/>
      <c r="I51" s="18"/>
      <c r="J51" s="18"/>
      <c r="K51" s="13">
        <v>3277</v>
      </c>
      <c r="L51" s="8">
        <v>1200</v>
      </c>
      <c r="M51" s="7" t="s">
        <v>716</v>
      </c>
      <c r="N51" s="7" t="s">
        <v>717</v>
      </c>
      <c r="O51" s="20">
        <v>1003.4</v>
      </c>
      <c r="P51" s="7">
        <v>-0.9</v>
      </c>
      <c r="Q51" s="7">
        <v>19.600000000000001</v>
      </c>
      <c r="R51" s="7">
        <v>126</v>
      </c>
      <c r="S51" s="7">
        <v>100</v>
      </c>
      <c r="T51" s="7">
        <v>5</v>
      </c>
      <c r="U51" s="7">
        <v>1</v>
      </c>
      <c r="X51" s="7" t="s">
        <v>718</v>
      </c>
    </row>
    <row r="52" spans="1:24" x14ac:dyDescent="0.55000000000000004">
      <c r="A52" s="7">
        <v>42</v>
      </c>
      <c r="B52" s="7">
        <v>1</v>
      </c>
      <c r="C52" s="7">
        <v>1</v>
      </c>
      <c r="D52" s="15" t="s">
        <v>704</v>
      </c>
      <c r="E52" s="16">
        <v>80.245800000000003</v>
      </c>
      <c r="F52" s="16">
        <v>125.93219999999999</v>
      </c>
      <c r="G52" s="16"/>
      <c r="H52" s="17" t="s">
        <v>710</v>
      </c>
      <c r="I52" s="18">
        <v>0.40972222222222227</v>
      </c>
      <c r="J52" s="18"/>
      <c r="K52" s="13">
        <v>3554</v>
      </c>
      <c r="L52" s="8">
        <v>1200</v>
      </c>
      <c r="M52" s="7" t="s">
        <v>711</v>
      </c>
      <c r="N52" s="7" t="s">
        <v>712</v>
      </c>
      <c r="O52" s="20">
        <v>1006.8</v>
      </c>
      <c r="P52" s="7">
        <v>-1.1000000000000001</v>
      </c>
      <c r="Q52" s="7">
        <v>19.5</v>
      </c>
      <c r="R52" s="7">
        <v>130</v>
      </c>
      <c r="S52" s="7">
        <v>100</v>
      </c>
      <c r="T52" s="7">
        <v>8</v>
      </c>
      <c r="U52" s="7">
        <v>1</v>
      </c>
      <c r="X52" s="7" t="s">
        <v>713</v>
      </c>
    </row>
    <row r="53" spans="1:24" x14ac:dyDescent="0.55000000000000004">
      <c r="A53" s="7">
        <v>43</v>
      </c>
      <c r="B53" s="7">
        <v>1</v>
      </c>
      <c r="C53" s="7">
        <v>1</v>
      </c>
      <c r="D53" s="15" t="s">
        <v>704</v>
      </c>
      <c r="E53" s="16">
        <v>80.813800000000001</v>
      </c>
      <c r="F53" s="16">
        <v>125.90519999999999</v>
      </c>
      <c r="G53" s="16"/>
      <c r="H53" s="17" t="s">
        <v>707</v>
      </c>
      <c r="I53" s="17">
        <v>0.69236111111111109</v>
      </c>
      <c r="J53" s="12">
        <v>0.7319444444444444</v>
      </c>
      <c r="K53" s="13">
        <v>3797</v>
      </c>
      <c r="L53" s="8">
        <v>1200</v>
      </c>
      <c r="M53" s="7" t="s">
        <v>130</v>
      </c>
      <c r="N53" s="7" t="s">
        <v>708</v>
      </c>
      <c r="O53" s="20">
        <v>1004.2</v>
      </c>
      <c r="P53" s="7">
        <v>-2.7</v>
      </c>
      <c r="Q53" s="7">
        <v>19.7</v>
      </c>
      <c r="R53" s="7">
        <v>142.69999999999999</v>
      </c>
      <c r="S53" s="7">
        <v>100</v>
      </c>
      <c r="T53" s="7">
        <v>7</v>
      </c>
      <c r="U53" s="7">
        <v>1</v>
      </c>
      <c r="X53" s="7" t="s">
        <v>709</v>
      </c>
    </row>
    <row r="54" spans="1:24" x14ac:dyDescent="0.55000000000000004">
      <c r="A54" s="7">
        <v>44</v>
      </c>
      <c r="B54" s="7">
        <v>1</v>
      </c>
      <c r="C54" s="7">
        <v>1</v>
      </c>
      <c r="D54" s="15" t="s">
        <v>704</v>
      </c>
      <c r="E54" s="16">
        <v>81.384699999999995</v>
      </c>
      <c r="F54" s="16">
        <v>124.97199999999999</v>
      </c>
      <c r="G54" s="16"/>
      <c r="H54" s="15" t="s">
        <v>705</v>
      </c>
      <c r="I54" s="22">
        <v>0.99652777777777779</v>
      </c>
      <c r="J54" s="22">
        <v>3.125E-2</v>
      </c>
      <c r="K54" s="13">
        <v>3954</v>
      </c>
      <c r="L54" s="8">
        <v>1200</v>
      </c>
      <c r="M54" s="7" t="s">
        <v>111</v>
      </c>
      <c r="N54" s="7" t="s">
        <v>706</v>
      </c>
      <c r="O54" s="20">
        <v>993.5</v>
      </c>
      <c r="P54" s="7">
        <v>-4.4000000000000004</v>
      </c>
      <c r="Q54" s="7">
        <v>18</v>
      </c>
      <c r="R54" s="7">
        <v>122</v>
      </c>
      <c r="S54" s="7">
        <v>100</v>
      </c>
      <c r="T54" s="7">
        <v>4</v>
      </c>
      <c r="U54" s="7">
        <v>1</v>
      </c>
    </row>
    <row r="55" spans="1:24" x14ac:dyDescent="0.55000000000000004">
      <c r="A55" s="7">
        <v>45</v>
      </c>
      <c r="B55" s="7">
        <v>1</v>
      </c>
      <c r="C55" s="7">
        <v>1</v>
      </c>
      <c r="D55" s="15" t="s">
        <v>700</v>
      </c>
      <c r="E55" s="16">
        <v>81.968800000000002</v>
      </c>
      <c r="F55" s="16">
        <v>125.9515</v>
      </c>
      <c r="G55" s="16"/>
      <c r="H55" s="15" t="s">
        <v>701</v>
      </c>
      <c r="I55" s="22">
        <v>0.37013888888888885</v>
      </c>
      <c r="J55" s="22">
        <v>0.4465277777777778</v>
      </c>
      <c r="K55" s="13">
        <v>4055</v>
      </c>
      <c r="L55" s="8">
        <v>4050</v>
      </c>
      <c r="M55" s="7" t="s">
        <v>702</v>
      </c>
      <c r="N55" s="7" t="s">
        <v>703</v>
      </c>
      <c r="O55" s="20">
        <v>995.4</v>
      </c>
      <c r="P55" s="7">
        <v>-3.7</v>
      </c>
      <c r="Q55" s="7">
        <v>20</v>
      </c>
      <c r="R55" s="7">
        <v>127</v>
      </c>
      <c r="S55" s="7">
        <v>99.4</v>
      </c>
      <c r="T55" s="7">
        <v>4</v>
      </c>
      <c r="U55" s="7">
        <v>1</v>
      </c>
      <c r="X55" s="7" t="s">
        <v>714</v>
      </c>
    </row>
    <row r="56" spans="1:24" x14ac:dyDescent="0.55000000000000004">
      <c r="C56" s="7">
        <f>SUM(C2:C55)</f>
        <v>48</v>
      </c>
    </row>
    <row r="58" spans="1:24" x14ac:dyDescent="0.55000000000000004">
      <c r="U58" s="7">
        <f>SUM(U2:U55)</f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1C99-5B95-4F2C-8311-3421F9F1BF29}">
  <dimension ref="A1"/>
  <sheetViews>
    <sheetView workbookViewId="0">
      <selection activeCell="A2" sqref="A2"/>
    </sheetView>
  </sheetViews>
  <sheetFormatPr defaultRowHeight="14.4" x14ac:dyDescent="0.55000000000000004"/>
  <sheetData>
    <row r="1" spans="1:1" x14ac:dyDescent="0.55000000000000004">
      <c r="A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Bottle Log</vt:lpstr>
      <vt:lpstr>Cast Conditions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Volta</dc:creator>
  <cp:lastModifiedBy>L W</cp:lastModifiedBy>
  <cp:lastPrinted>2023-09-20T04:51:10Z</cp:lastPrinted>
  <dcterms:created xsi:type="dcterms:W3CDTF">2023-08-31T17:26:20Z</dcterms:created>
  <dcterms:modified xsi:type="dcterms:W3CDTF">2024-06-25T18:47:08Z</dcterms:modified>
</cp:coreProperties>
</file>