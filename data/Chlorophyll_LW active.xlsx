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lmwhitmore/Documents/GitHub/CTD-Data-Processing/data/"/>
    </mc:Choice>
  </mc:AlternateContent>
  <xr:revisionPtr revIDLastSave="0" documentId="13_ncr:1_{8F2B6456-CE69-604A-9AB9-BBBA2726CFF4}" xr6:coauthVersionLast="47" xr6:coauthVersionMax="47" xr10:uidLastSave="{00000000-0000-0000-0000-000000000000}"/>
  <bookViews>
    <workbookView xWindow="0" yWindow="680" windowWidth="11200" windowHeight="196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4" i="1"/>
  <c r="K222" i="1"/>
  <c r="K223" i="1"/>
  <c r="K215" i="1"/>
  <c r="K214" i="1"/>
  <c r="K213" i="1"/>
  <c r="K212" i="1"/>
  <c r="K211" i="1"/>
  <c r="K210" i="1"/>
  <c r="K105" i="1" l="1"/>
  <c r="K27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39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6" i="1"/>
  <c r="K87" i="1"/>
  <c r="K88" i="1"/>
  <c r="K89" i="1"/>
  <c r="K90" i="1"/>
  <c r="K91" i="1"/>
  <c r="K80" i="1"/>
  <c r="K81" i="1"/>
  <c r="K82" i="1"/>
  <c r="K83" i="1"/>
  <c r="K84" i="1"/>
  <c r="K85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6" i="1"/>
  <c r="K217" i="1"/>
  <c r="K218" i="1"/>
  <c r="K219" i="1"/>
  <c r="K220" i="1"/>
  <c r="K221" i="1"/>
  <c r="K224" i="1"/>
  <c r="K225" i="1"/>
  <c r="K226" i="1"/>
  <c r="K227" i="1"/>
  <c r="K228" i="1"/>
  <c r="K229" i="1"/>
  <c r="K230" i="1"/>
  <c r="K231" i="1"/>
  <c r="K232" i="1"/>
  <c r="K233" i="1"/>
  <c r="K4" i="1"/>
</calcChain>
</file>

<file path=xl/sharedStrings.xml><?xml version="1.0" encoding="utf-8"?>
<sst xmlns="http://schemas.openxmlformats.org/spreadsheetml/2006/main" count="248" uniqueCount="247">
  <si>
    <t>Station</t>
  </si>
  <si>
    <t>Date</t>
  </si>
  <si>
    <t>Chl</t>
  </si>
  <si>
    <t>Phaeo</t>
  </si>
  <si>
    <t>HEALY 2023</t>
  </si>
  <si>
    <t>Filename: HAB's Leg 1</t>
  </si>
  <si>
    <t>Chl/Phaeo</t>
  </si>
  <si>
    <t>Fo/Fa</t>
  </si>
  <si>
    <t>Fa/Fo</t>
  </si>
  <si>
    <t>Leaked in centrifuge</t>
  </si>
  <si>
    <t>Chl Max (m)</t>
  </si>
  <si>
    <t>Cast_lw</t>
  </si>
  <si>
    <t>Niskin_lw</t>
  </si>
  <si>
    <t>ID_lw</t>
  </si>
  <si>
    <t>CTD_voltage</t>
  </si>
  <si>
    <t>21-000001</t>
  </si>
  <si>
    <t>21-000007</t>
  </si>
  <si>
    <t>21-000006</t>
  </si>
  <si>
    <t>21-000005</t>
  </si>
  <si>
    <t>21-000004</t>
  </si>
  <si>
    <t>21-000003</t>
  </si>
  <si>
    <t>depth flag_lw</t>
  </si>
  <si>
    <t>21-000012</t>
  </si>
  <si>
    <t>21-000011</t>
  </si>
  <si>
    <t>21-000010</t>
  </si>
  <si>
    <t>21-000009</t>
  </si>
  <si>
    <t>21-000008</t>
  </si>
  <si>
    <t>approximate depth</t>
  </si>
  <si>
    <t>21-000013</t>
  </si>
  <si>
    <t>21-000014</t>
  </si>
  <si>
    <t>21-000015</t>
  </si>
  <si>
    <t>21-000016</t>
  </si>
  <si>
    <t>21-000017</t>
  </si>
  <si>
    <t>21-000018</t>
  </si>
  <si>
    <t>21-000019</t>
  </si>
  <si>
    <t>21-000020</t>
  </si>
  <si>
    <t>21-000021</t>
  </si>
  <si>
    <t>21-000022</t>
  </si>
  <si>
    <t>21-000023</t>
  </si>
  <si>
    <t>21-000024</t>
  </si>
  <si>
    <t>21-000026</t>
  </si>
  <si>
    <t>21-000027</t>
  </si>
  <si>
    <t>21-000028</t>
  </si>
  <si>
    <t>21-000029</t>
  </si>
  <si>
    <t>21-000030</t>
  </si>
  <si>
    <t>21-000031</t>
  </si>
  <si>
    <t>21-000038</t>
  </si>
  <si>
    <t>21-000039</t>
  </si>
  <si>
    <t>21-000040</t>
  </si>
  <si>
    <t>21-000041</t>
  </si>
  <si>
    <t>21-000042</t>
  </si>
  <si>
    <t>21-000043</t>
  </si>
  <si>
    <t>21-000056</t>
  </si>
  <si>
    <t>21-000057</t>
  </si>
  <si>
    <t>21-000058</t>
  </si>
  <si>
    <t>21-000059</t>
  </si>
  <si>
    <t>21-000060</t>
  </si>
  <si>
    <t>21-000061</t>
  </si>
  <si>
    <t>21-000071</t>
  </si>
  <si>
    <t>21-000072</t>
  </si>
  <si>
    <t>21-000073</t>
  </si>
  <si>
    <t>21-000074</t>
  </si>
  <si>
    <t>21-000075</t>
  </si>
  <si>
    <t>21-000076</t>
  </si>
  <si>
    <t>inv.</t>
  </si>
  <si>
    <t>21-000093</t>
  </si>
  <si>
    <t>21-000094</t>
  </si>
  <si>
    <t>21-000095</t>
  </si>
  <si>
    <t>21-000096</t>
  </si>
  <si>
    <t>21-000097</t>
  </si>
  <si>
    <t>21-000098</t>
  </si>
  <si>
    <t>21-000114</t>
  </si>
  <si>
    <t>21-000115</t>
  </si>
  <si>
    <t>21-000116</t>
  </si>
  <si>
    <t>21-000118</t>
  </si>
  <si>
    <t>21-000133</t>
  </si>
  <si>
    <t>21-000134</t>
  </si>
  <si>
    <t>21-000135</t>
  </si>
  <si>
    <t>21-000136</t>
  </si>
  <si>
    <t>21-000137</t>
  </si>
  <si>
    <t>21-000138</t>
  </si>
  <si>
    <t>21-000157</t>
  </si>
  <si>
    <t>21-000158</t>
  </si>
  <si>
    <t>21-000159</t>
  </si>
  <si>
    <t>21-000160</t>
  </si>
  <si>
    <t>21-000161</t>
  </si>
  <si>
    <t>21-000162</t>
  </si>
  <si>
    <t>21-000177</t>
  </si>
  <si>
    <t>21-000178</t>
  </si>
  <si>
    <t>21-000179</t>
  </si>
  <si>
    <t>21-000180</t>
  </si>
  <si>
    <t>21-000181</t>
  </si>
  <si>
    <t>21-000182</t>
  </si>
  <si>
    <t>21-000228</t>
  </si>
  <si>
    <t>21-000230</t>
  </si>
  <si>
    <t>21-000231</t>
  </si>
  <si>
    <t>21-000232</t>
  </si>
  <si>
    <t>21-000233</t>
  </si>
  <si>
    <t>21-000229</t>
  </si>
  <si>
    <t>21-000201</t>
  </si>
  <si>
    <t>21-000202</t>
  </si>
  <si>
    <t>21-000203</t>
  </si>
  <si>
    <t>21-000204</t>
  </si>
  <si>
    <t>21-000205</t>
  </si>
  <si>
    <t>21-000206</t>
  </si>
  <si>
    <t>21-000243</t>
  </si>
  <si>
    <t>21-000244</t>
  </si>
  <si>
    <t>21-000245</t>
  </si>
  <si>
    <t>21-000246</t>
  </si>
  <si>
    <t>21-000247</t>
  </si>
  <si>
    <t>21-000248</t>
  </si>
  <si>
    <t>21-000263</t>
  </si>
  <si>
    <t>21-000264</t>
  </si>
  <si>
    <t>21-000265</t>
  </si>
  <si>
    <t>21-000266</t>
  </si>
  <si>
    <t>21-000267</t>
  </si>
  <si>
    <t>21-000268</t>
  </si>
  <si>
    <t>21-000284</t>
  </si>
  <si>
    <t>21-000285</t>
  </si>
  <si>
    <t>21-000286</t>
  </si>
  <si>
    <t>21-000287</t>
  </si>
  <si>
    <t>21-000288</t>
  </si>
  <si>
    <t>21-000303</t>
  </si>
  <si>
    <t>21-000304</t>
  </si>
  <si>
    <t>21-000305</t>
  </si>
  <si>
    <t>21-000306</t>
  </si>
  <si>
    <t>21-000307</t>
  </si>
  <si>
    <t>21-000308</t>
  </si>
  <si>
    <t>21-000323</t>
  </si>
  <si>
    <t>21-000324</t>
  </si>
  <si>
    <t>21-000325</t>
  </si>
  <si>
    <t>21-000326</t>
  </si>
  <si>
    <t>21-000327</t>
  </si>
  <si>
    <t>21-000328</t>
  </si>
  <si>
    <t>21-000347</t>
  </si>
  <si>
    <t>21-000348</t>
  </si>
  <si>
    <t>21-000349</t>
  </si>
  <si>
    <t>21-000350</t>
  </si>
  <si>
    <t>21-000351</t>
  </si>
  <si>
    <t>21-000352</t>
  </si>
  <si>
    <t>21-000369</t>
  </si>
  <si>
    <t>21-000370</t>
  </si>
  <si>
    <t>21-000371</t>
  </si>
  <si>
    <t>21-000372</t>
  </si>
  <si>
    <t>21-000373</t>
  </si>
  <si>
    <t>21-000374</t>
  </si>
  <si>
    <t>21-000389</t>
  </si>
  <si>
    <t>21-000390</t>
  </si>
  <si>
    <t>21-000391</t>
  </si>
  <si>
    <t>21-000392</t>
  </si>
  <si>
    <t>21-000393</t>
  </si>
  <si>
    <t>21-000394</t>
  </si>
  <si>
    <t>21-000409</t>
  </si>
  <si>
    <t>21-000410</t>
  </si>
  <si>
    <t>21-000411</t>
  </si>
  <si>
    <t>21-000412</t>
  </si>
  <si>
    <t>21-000413</t>
  </si>
  <si>
    <t>21-000414</t>
  </si>
  <si>
    <t>21-000429</t>
  </si>
  <si>
    <t>21-000430</t>
  </si>
  <si>
    <t>21-000431</t>
  </si>
  <si>
    <t>21-000432</t>
  </si>
  <si>
    <t>21-000433</t>
  </si>
  <si>
    <t>21-000434</t>
  </si>
  <si>
    <t>21-000452</t>
  </si>
  <si>
    <t>21-000453</t>
  </si>
  <si>
    <t>21-000454</t>
  </si>
  <si>
    <t>21-000455</t>
  </si>
  <si>
    <t>21-000456</t>
  </si>
  <si>
    <t>21-000457</t>
  </si>
  <si>
    <t>21-000472</t>
  </si>
  <si>
    <t>21-000474</t>
  </si>
  <si>
    <t>21-000475</t>
  </si>
  <si>
    <t>21-000476</t>
  </si>
  <si>
    <t>21-000477</t>
  </si>
  <si>
    <t>21-000493</t>
  </si>
  <si>
    <t>21-000495</t>
  </si>
  <si>
    <t>21-000494</t>
  </si>
  <si>
    <t>21-000496</t>
  </si>
  <si>
    <t>21-000497</t>
  </si>
  <si>
    <t>21-000498</t>
  </si>
  <si>
    <t>21-000557</t>
  </si>
  <si>
    <t>21-000558</t>
  </si>
  <si>
    <t>21-000559</t>
  </si>
  <si>
    <t>21-000560</t>
  </si>
  <si>
    <t>21-000561</t>
  </si>
  <si>
    <t>21-000517</t>
  </si>
  <si>
    <t>21-000518</t>
  </si>
  <si>
    <t>21-000519</t>
  </si>
  <si>
    <t>21-000520</t>
  </si>
  <si>
    <t>21-000521</t>
  </si>
  <si>
    <t>21-000522</t>
  </si>
  <si>
    <t>21-000537</t>
  </si>
  <si>
    <t>21-000538</t>
  </si>
  <si>
    <t>21-000539</t>
  </si>
  <si>
    <t>21-000540</t>
  </si>
  <si>
    <t>21-000541</t>
  </si>
  <si>
    <t>21-000542</t>
  </si>
  <si>
    <t>21-000562</t>
  </si>
  <si>
    <t>21-000580</t>
  </si>
  <si>
    <t>21-000581</t>
  </si>
  <si>
    <t>21-000582</t>
  </si>
  <si>
    <t>21-000583</t>
  </si>
  <si>
    <t>21-000584</t>
  </si>
  <si>
    <t>21-000585</t>
  </si>
  <si>
    <t>21-000591</t>
  </si>
  <si>
    <t>21-000592</t>
  </si>
  <si>
    <t>21-000593</t>
  </si>
  <si>
    <t>21-000594</t>
  </si>
  <si>
    <t>21-000595</t>
  </si>
  <si>
    <t>21-000596</t>
  </si>
  <si>
    <t>21-000619</t>
  </si>
  <si>
    <t>21-000620</t>
  </si>
  <si>
    <t>21-000621</t>
  </si>
  <si>
    <t>21-000622</t>
  </si>
  <si>
    <t>21-000623</t>
  </si>
  <si>
    <t>21-000624</t>
  </si>
  <si>
    <t>21-000639</t>
  </si>
  <si>
    <t>21-000640</t>
  </si>
  <si>
    <t>21-000641</t>
  </si>
  <si>
    <t>21-000642</t>
  </si>
  <si>
    <t>21-000643</t>
  </si>
  <si>
    <t>21-000644</t>
  </si>
  <si>
    <t>21-000659</t>
  </si>
  <si>
    <t>21-000660</t>
  </si>
  <si>
    <t>21-000661</t>
  </si>
  <si>
    <t>21-000662</t>
  </si>
  <si>
    <t>21-000663</t>
  </si>
  <si>
    <t>21-000664</t>
  </si>
  <si>
    <t>21-000699</t>
  </si>
  <si>
    <t>21-000700</t>
  </si>
  <si>
    <t>21-000701</t>
  </si>
  <si>
    <t>21-000702</t>
  </si>
  <si>
    <t>21-000703</t>
  </si>
  <si>
    <t>21-000704</t>
  </si>
  <si>
    <t>21-000680</t>
  </si>
  <si>
    <t>21-000679</t>
  </si>
  <si>
    <t>21-000681</t>
  </si>
  <si>
    <t>21-000682</t>
  </si>
  <si>
    <t>21-000683</t>
  </si>
  <si>
    <t>21-000684</t>
  </si>
  <si>
    <t>21-000719</t>
  </si>
  <si>
    <t>21-000720</t>
  </si>
  <si>
    <t>21-000721</t>
  </si>
  <si>
    <t>21-000722</t>
  </si>
  <si>
    <t>21-000723</t>
  </si>
  <si>
    <t>21-000724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</si>
</sst>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409]mmm\-yy;@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C0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5" fontId="0" fillId="0" borderId="0" xfId="0" applyNumberFormat="1"/>
    <xf numFmtId="15" fontId="2" fillId="0" borderId="0" xfId="0" applyNumberFormat="1" applyFont="1"/>
    <xf numFmtId="2" fontId="0" fillId="0" borderId="0" xfId="0" applyNumberForma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165" fontId="3" fillId="0" borderId="0" xfId="0" applyNumberFormat="1" applyFont="1" applyAlignment="1">
      <alignment horizontal="center"/>
    </xf>
    <xf numFmtId="164" fontId="3" fillId="0" borderId="0" xfId="0" applyNumberFormat="1" applyFont="1"/>
    <xf numFmtId="166" fontId="4" fillId="0" borderId="0" xfId="0" applyNumberFormat="1" applyFont="1"/>
    <xf numFmtId="166" fontId="4" fillId="2" borderId="0" xfId="0" applyNumberFormat="1" applyFont="1" applyFill="1"/>
    <xf numFmtId="164" fontId="0" fillId="0" borderId="0" xfId="0" applyNumberFormat="1"/>
    <xf numFmtId="2" fontId="5" fillId="0" borderId="0" xfId="0" applyNumberFormat="1" applyFont="1" applyAlignment="1">
      <alignment horizontal="left" indent="3"/>
    </xf>
    <xf numFmtId="0" fontId="1" fillId="0" borderId="0" xfId="0" applyFont="1" applyAlignment="1">
      <alignment horizont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Fo/Fa</a:t>
            </a:r>
            <a:r>
              <a:rPr lang="en-US" baseline="0"/>
              <a:t> and date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Sheet1!$B$4:$B$233</c:f>
              <c:numCache>
                <c:formatCode>d\-mmm\-yy</c:formatCode>
                <c:ptCount val="230"/>
                <c:pt idx="0">
                  <c:v>45170</c:v>
                </c:pt>
                <c:pt idx="1">
                  <c:v>45172</c:v>
                </c:pt>
                <c:pt idx="2">
                  <c:v>45172</c:v>
                </c:pt>
                <c:pt idx="3">
                  <c:v>45172</c:v>
                </c:pt>
                <c:pt idx="4">
                  <c:v>45172</c:v>
                </c:pt>
                <c:pt idx="5">
                  <c:v>45172</c:v>
                </c:pt>
                <c:pt idx="6">
                  <c:v>45172</c:v>
                </c:pt>
                <c:pt idx="7">
                  <c:v>45172</c:v>
                </c:pt>
                <c:pt idx="8">
                  <c:v>45172</c:v>
                </c:pt>
                <c:pt idx="9">
                  <c:v>45172</c:v>
                </c:pt>
                <c:pt idx="10">
                  <c:v>45172</c:v>
                </c:pt>
                <c:pt idx="11">
                  <c:v>45172</c:v>
                </c:pt>
                <c:pt idx="12">
                  <c:v>45172</c:v>
                </c:pt>
                <c:pt idx="13">
                  <c:v>45172</c:v>
                </c:pt>
                <c:pt idx="14">
                  <c:v>45172</c:v>
                </c:pt>
                <c:pt idx="15">
                  <c:v>45172</c:v>
                </c:pt>
                <c:pt idx="16">
                  <c:v>45172</c:v>
                </c:pt>
                <c:pt idx="17">
                  <c:v>45173</c:v>
                </c:pt>
                <c:pt idx="18">
                  <c:v>45173</c:v>
                </c:pt>
                <c:pt idx="19">
                  <c:v>45173</c:v>
                </c:pt>
                <c:pt idx="20">
                  <c:v>45173</c:v>
                </c:pt>
                <c:pt idx="21">
                  <c:v>45173</c:v>
                </c:pt>
                <c:pt idx="22">
                  <c:v>45173</c:v>
                </c:pt>
                <c:pt idx="23">
                  <c:v>45173</c:v>
                </c:pt>
                <c:pt idx="24">
                  <c:v>45173</c:v>
                </c:pt>
                <c:pt idx="25">
                  <c:v>45173</c:v>
                </c:pt>
                <c:pt idx="26">
                  <c:v>45173</c:v>
                </c:pt>
                <c:pt idx="27">
                  <c:v>45173</c:v>
                </c:pt>
                <c:pt idx="28">
                  <c:v>45173</c:v>
                </c:pt>
                <c:pt idx="29">
                  <c:v>45173</c:v>
                </c:pt>
                <c:pt idx="30">
                  <c:v>45173</c:v>
                </c:pt>
                <c:pt idx="31">
                  <c:v>45173</c:v>
                </c:pt>
                <c:pt idx="32">
                  <c:v>45173</c:v>
                </c:pt>
                <c:pt idx="33">
                  <c:v>45173</c:v>
                </c:pt>
                <c:pt idx="34">
                  <c:v>45173</c:v>
                </c:pt>
                <c:pt idx="35">
                  <c:v>45174</c:v>
                </c:pt>
                <c:pt idx="36">
                  <c:v>45174</c:v>
                </c:pt>
                <c:pt idx="37">
                  <c:v>45174</c:v>
                </c:pt>
                <c:pt idx="38">
                  <c:v>45174</c:v>
                </c:pt>
                <c:pt idx="39">
                  <c:v>45174</c:v>
                </c:pt>
                <c:pt idx="40">
                  <c:v>45174</c:v>
                </c:pt>
                <c:pt idx="41">
                  <c:v>45174</c:v>
                </c:pt>
                <c:pt idx="42">
                  <c:v>45174</c:v>
                </c:pt>
                <c:pt idx="43">
                  <c:v>45174</c:v>
                </c:pt>
                <c:pt idx="44">
                  <c:v>45174</c:v>
                </c:pt>
                <c:pt idx="45">
                  <c:v>45174</c:v>
                </c:pt>
                <c:pt idx="46">
                  <c:v>45174</c:v>
                </c:pt>
                <c:pt idx="47">
                  <c:v>45174</c:v>
                </c:pt>
                <c:pt idx="48">
                  <c:v>45174</c:v>
                </c:pt>
                <c:pt idx="49">
                  <c:v>45174</c:v>
                </c:pt>
                <c:pt idx="50">
                  <c:v>45174</c:v>
                </c:pt>
                <c:pt idx="51">
                  <c:v>45174</c:v>
                </c:pt>
                <c:pt idx="52">
                  <c:v>45174</c:v>
                </c:pt>
                <c:pt idx="53">
                  <c:v>45174</c:v>
                </c:pt>
                <c:pt idx="54">
                  <c:v>45174</c:v>
                </c:pt>
                <c:pt idx="55">
                  <c:v>45174</c:v>
                </c:pt>
                <c:pt idx="56">
                  <c:v>45174</c:v>
                </c:pt>
                <c:pt idx="57">
                  <c:v>45174</c:v>
                </c:pt>
                <c:pt idx="58">
                  <c:v>45175</c:v>
                </c:pt>
                <c:pt idx="59">
                  <c:v>45175</c:v>
                </c:pt>
                <c:pt idx="60">
                  <c:v>45175</c:v>
                </c:pt>
                <c:pt idx="61">
                  <c:v>45175</c:v>
                </c:pt>
                <c:pt idx="62">
                  <c:v>45175</c:v>
                </c:pt>
                <c:pt idx="63">
                  <c:v>45175</c:v>
                </c:pt>
                <c:pt idx="64">
                  <c:v>45176</c:v>
                </c:pt>
                <c:pt idx="65">
                  <c:v>45176</c:v>
                </c:pt>
                <c:pt idx="66">
                  <c:v>45176</c:v>
                </c:pt>
                <c:pt idx="67">
                  <c:v>45176</c:v>
                </c:pt>
                <c:pt idx="68">
                  <c:v>45176</c:v>
                </c:pt>
                <c:pt idx="69">
                  <c:v>45176</c:v>
                </c:pt>
                <c:pt idx="70">
                  <c:v>45176</c:v>
                </c:pt>
                <c:pt idx="71">
                  <c:v>45176</c:v>
                </c:pt>
                <c:pt idx="72">
                  <c:v>45176</c:v>
                </c:pt>
                <c:pt idx="73">
                  <c:v>45176</c:v>
                </c:pt>
                <c:pt idx="74">
                  <c:v>45176</c:v>
                </c:pt>
                <c:pt idx="75">
                  <c:v>45176</c:v>
                </c:pt>
                <c:pt idx="76">
                  <c:v>45177</c:v>
                </c:pt>
                <c:pt idx="77">
                  <c:v>45177</c:v>
                </c:pt>
                <c:pt idx="78">
                  <c:v>45177</c:v>
                </c:pt>
                <c:pt idx="79">
                  <c:v>45177</c:v>
                </c:pt>
                <c:pt idx="80">
                  <c:v>45177</c:v>
                </c:pt>
                <c:pt idx="81">
                  <c:v>45177</c:v>
                </c:pt>
                <c:pt idx="82">
                  <c:v>45177</c:v>
                </c:pt>
                <c:pt idx="83">
                  <c:v>45177</c:v>
                </c:pt>
                <c:pt idx="84">
                  <c:v>45177</c:v>
                </c:pt>
                <c:pt idx="85">
                  <c:v>45177</c:v>
                </c:pt>
                <c:pt idx="86">
                  <c:v>45177</c:v>
                </c:pt>
                <c:pt idx="87">
                  <c:v>45177</c:v>
                </c:pt>
                <c:pt idx="88">
                  <c:v>45178</c:v>
                </c:pt>
                <c:pt idx="89">
                  <c:v>45178</c:v>
                </c:pt>
                <c:pt idx="90">
                  <c:v>45178</c:v>
                </c:pt>
                <c:pt idx="91">
                  <c:v>45178</c:v>
                </c:pt>
                <c:pt idx="92">
                  <c:v>45178</c:v>
                </c:pt>
                <c:pt idx="93">
                  <c:v>45178</c:v>
                </c:pt>
                <c:pt idx="94">
                  <c:v>45178</c:v>
                </c:pt>
                <c:pt idx="95">
                  <c:v>45178</c:v>
                </c:pt>
                <c:pt idx="96">
                  <c:v>45178</c:v>
                </c:pt>
                <c:pt idx="97">
                  <c:v>45178</c:v>
                </c:pt>
                <c:pt idx="98">
                  <c:v>45178</c:v>
                </c:pt>
                <c:pt idx="99">
                  <c:v>45178</c:v>
                </c:pt>
                <c:pt idx="100">
                  <c:v>45179</c:v>
                </c:pt>
                <c:pt idx="101">
                  <c:v>45179</c:v>
                </c:pt>
                <c:pt idx="102">
                  <c:v>45179</c:v>
                </c:pt>
                <c:pt idx="103">
                  <c:v>45179</c:v>
                </c:pt>
                <c:pt idx="104">
                  <c:v>45179</c:v>
                </c:pt>
                <c:pt idx="105">
                  <c:v>45179</c:v>
                </c:pt>
                <c:pt idx="106">
                  <c:v>45179</c:v>
                </c:pt>
                <c:pt idx="107">
                  <c:v>45179</c:v>
                </c:pt>
                <c:pt idx="108">
                  <c:v>45179</c:v>
                </c:pt>
                <c:pt idx="109">
                  <c:v>45179</c:v>
                </c:pt>
                <c:pt idx="110">
                  <c:v>45179</c:v>
                </c:pt>
                <c:pt idx="111">
                  <c:v>45179</c:v>
                </c:pt>
                <c:pt idx="112">
                  <c:v>45179</c:v>
                </c:pt>
                <c:pt idx="113">
                  <c:v>45179</c:v>
                </c:pt>
                <c:pt idx="114">
                  <c:v>45179</c:v>
                </c:pt>
                <c:pt idx="115">
                  <c:v>45179</c:v>
                </c:pt>
                <c:pt idx="116">
                  <c:v>45179</c:v>
                </c:pt>
                <c:pt idx="117">
                  <c:v>45179</c:v>
                </c:pt>
                <c:pt idx="118">
                  <c:v>45179</c:v>
                </c:pt>
                <c:pt idx="119">
                  <c:v>45179</c:v>
                </c:pt>
                <c:pt idx="120">
                  <c:v>45179</c:v>
                </c:pt>
                <c:pt idx="121">
                  <c:v>45179</c:v>
                </c:pt>
                <c:pt idx="122">
                  <c:v>45179</c:v>
                </c:pt>
                <c:pt idx="123">
                  <c:v>45181</c:v>
                </c:pt>
                <c:pt idx="124">
                  <c:v>45181</c:v>
                </c:pt>
                <c:pt idx="125">
                  <c:v>45181</c:v>
                </c:pt>
                <c:pt idx="126">
                  <c:v>45181</c:v>
                </c:pt>
                <c:pt idx="127">
                  <c:v>45181</c:v>
                </c:pt>
                <c:pt idx="128">
                  <c:v>45181</c:v>
                </c:pt>
                <c:pt idx="129">
                  <c:v>45181</c:v>
                </c:pt>
                <c:pt idx="130">
                  <c:v>45181</c:v>
                </c:pt>
                <c:pt idx="131">
                  <c:v>45181</c:v>
                </c:pt>
                <c:pt idx="132">
                  <c:v>45181</c:v>
                </c:pt>
                <c:pt idx="133">
                  <c:v>45181</c:v>
                </c:pt>
                <c:pt idx="134">
                  <c:v>45181</c:v>
                </c:pt>
                <c:pt idx="135">
                  <c:v>45182</c:v>
                </c:pt>
                <c:pt idx="136">
                  <c:v>45182</c:v>
                </c:pt>
                <c:pt idx="137">
                  <c:v>45182</c:v>
                </c:pt>
                <c:pt idx="138">
                  <c:v>45182</c:v>
                </c:pt>
                <c:pt idx="139">
                  <c:v>45182</c:v>
                </c:pt>
                <c:pt idx="140">
                  <c:v>45182</c:v>
                </c:pt>
                <c:pt idx="141">
                  <c:v>45183</c:v>
                </c:pt>
                <c:pt idx="142">
                  <c:v>45183</c:v>
                </c:pt>
                <c:pt idx="143">
                  <c:v>45183</c:v>
                </c:pt>
                <c:pt idx="144">
                  <c:v>45183</c:v>
                </c:pt>
                <c:pt idx="145">
                  <c:v>45183</c:v>
                </c:pt>
                <c:pt idx="146">
                  <c:v>45183</c:v>
                </c:pt>
                <c:pt idx="147">
                  <c:v>45183</c:v>
                </c:pt>
                <c:pt idx="148">
                  <c:v>45183</c:v>
                </c:pt>
                <c:pt idx="149">
                  <c:v>45183</c:v>
                </c:pt>
                <c:pt idx="150">
                  <c:v>45183</c:v>
                </c:pt>
                <c:pt idx="151">
                  <c:v>45183</c:v>
                </c:pt>
                <c:pt idx="152">
                  <c:v>45183</c:v>
                </c:pt>
                <c:pt idx="153">
                  <c:v>45185</c:v>
                </c:pt>
                <c:pt idx="154">
                  <c:v>45185</c:v>
                </c:pt>
                <c:pt idx="155">
                  <c:v>45185</c:v>
                </c:pt>
                <c:pt idx="156">
                  <c:v>45185</c:v>
                </c:pt>
                <c:pt idx="157">
                  <c:v>45185</c:v>
                </c:pt>
                <c:pt idx="158">
                  <c:v>45186</c:v>
                </c:pt>
                <c:pt idx="159">
                  <c:v>45186</c:v>
                </c:pt>
                <c:pt idx="160">
                  <c:v>45186</c:v>
                </c:pt>
                <c:pt idx="161">
                  <c:v>45186</c:v>
                </c:pt>
                <c:pt idx="162">
                  <c:v>45186</c:v>
                </c:pt>
                <c:pt idx="163">
                  <c:v>45186</c:v>
                </c:pt>
                <c:pt idx="164">
                  <c:v>45186</c:v>
                </c:pt>
                <c:pt idx="165">
                  <c:v>45186</c:v>
                </c:pt>
                <c:pt idx="166">
                  <c:v>45186</c:v>
                </c:pt>
                <c:pt idx="167">
                  <c:v>45186</c:v>
                </c:pt>
                <c:pt idx="168">
                  <c:v>45186</c:v>
                </c:pt>
                <c:pt idx="169">
                  <c:v>45186</c:v>
                </c:pt>
                <c:pt idx="170">
                  <c:v>45187</c:v>
                </c:pt>
                <c:pt idx="171">
                  <c:v>45187</c:v>
                </c:pt>
                <c:pt idx="172">
                  <c:v>45187</c:v>
                </c:pt>
                <c:pt idx="173">
                  <c:v>45187</c:v>
                </c:pt>
                <c:pt idx="174">
                  <c:v>45187</c:v>
                </c:pt>
                <c:pt idx="175">
                  <c:v>45187</c:v>
                </c:pt>
                <c:pt idx="176">
                  <c:v>45187</c:v>
                </c:pt>
                <c:pt idx="177">
                  <c:v>45187</c:v>
                </c:pt>
                <c:pt idx="178">
                  <c:v>45187</c:v>
                </c:pt>
                <c:pt idx="179">
                  <c:v>45187</c:v>
                </c:pt>
                <c:pt idx="180">
                  <c:v>45187</c:v>
                </c:pt>
                <c:pt idx="181">
                  <c:v>45187</c:v>
                </c:pt>
                <c:pt idx="182">
                  <c:v>45188</c:v>
                </c:pt>
                <c:pt idx="183">
                  <c:v>45188</c:v>
                </c:pt>
                <c:pt idx="184">
                  <c:v>45188</c:v>
                </c:pt>
                <c:pt idx="185">
                  <c:v>45188</c:v>
                </c:pt>
                <c:pt idx="186">
                  <c:v>45188</c:v>
                </c:pt>
                <c:pt idx="187">
                  <c:v>45188</c:v>
                </c:pt>
                <c:pt idx="188">
                  <c:v>45189</c:v>
                </c:pt>
                <c:pt idx="189">
                  <c:v>45189</c:v>
                </c:pt>
                <c:pt idx="190">
                  <c:v>45189</c:v>
                </c:pt>
                <c:pt idx="191">
                  <c:v>45189</c:v>
                </c:pt>
                <c:pt idx="192">
                  <c:v>45189</c:v>
                </c:pt>
                <c:pt idx="193">
                  <c:v>45189</c:v>
                </c:pt>
                <c:pt idx="194">
                  <c:v>45190</c:v>
                </c:pt>
                <c:pt idx="195">
                  <c:v>45190</c:v>
                </c:pt>
                <c:pt idx="196">
                  <c:v>45190</c:v>
                </c:pt>
                <c:pt idx="197">
                  <c:v>45190</c:v>
                </c:pt>
                <c:pt idx="198">
                  <c:v>45190</c:v>
                </c:pt>
                <c:pt idx="199">
                  <c:v>45190</c:v>
                </c:pt>
                <c:pt idx="200">
                  <c:v>45190</c:v>
                </c:pt>
                <c:pt idx="201">
                  <c:v>45190</c:v>
                </c:pt>
                <c:pt idx="202">
                  <c:v>45190</c:v>
                </c:pt>
                <c:pt idx="203">
                  <c:v>45190</c:v>
                </c:pt>
                <c:pt idx="204">
                  <c:v>45190</c:v>
                </c:pt>
                <c:pt idx="205">
                  <c:v>45190</c:v>
                </c:pt>
                <c:pt idx="206">
                  <c:v>45191</c:v>
                </c:pt>
                <c:pt idx="207">
                  <c:v>45191</c:v>
                </c:pt>
                <c:pt idx="208">
                  <c:v>45191</c:v>
                </c:pt>
                <c:pt idx="209">
                  <c:v>45191</c:v>
                </c:pt>
                <c:pt idx="210">
                  <c:v>45191</c:v>
                </c:pt>
                <c:pt idx="211">
                  <c:v>45191</c:v>
                </c:pt>
                <c:pt idx="212">
                  <c:v>45191</c:v>
                </c:pt>
                <c:pt idx="213">
                  <c:v>45191</c:v>
                </c:pt>
                <c:pt idx="214">
                  <c:v>45191</c:v>
                </c:pt>
                <c:pt idx="215">
                  <c:v>45191</c:v>
                </c:pt>
                <c:pt idx="216">
                  <c:v>45191</c:v>
                </c:pt>
                <c:pt idx="217">
                  <c:v>45191</c:v>
                </c:pt>
                <c:pt idx="218">
                  <c:v>45191</c:v>
                </c:pt>
                <c:pt idx="219">
                  <c:v>45191</c:v>
                </c:pt>
                <c:pt idx="220">
                  <c:v>45191</c:v>
                </c:pt>
                <c:pt idx="221">
                  <c:v>45191</c:v>
                </c:pt>
                <c:pt idx="222">
                  <c:v>45191</c:v>
                </c:pt>
                <c:pt idx="223">
                  <c:v>45191</c:v>
                </c:pt>
                <c:pt idx="224">
                  <c:v>45191</c:v>
                </c:pt>
                <c:pt idx="225">
                  <c:v>45191</c:v>
                </c:pt>
                <c:pt idx="226">
                  <c:v>45191</c:v>
                </c:pt>
                <c:pt idx="227">
                  <c:v>45191</c:v>
                </c:pt>
                <c:pt idx="228">
                  <c:v>45191</c:v>
                </c:pt>
                <c:pt idx="229">
                  <c:v>45191</c:v>
                </c:pt>
              </c:numCache>
            </c:numRef>
          </c:xVal>
          <c:yVal>
            <c:numRef>
              <c:f>Sheet1!$M$4:$M$233</c:f>
              <c:numCache>
                <c:formatCode>0.00</c:formatCode>
                <c:ptCount val="230"/>
                <c:pt idx="0">
                  <c:v>4.9056603773584904</c:v>
                </c:pt>
                <c:pt idx="1">
                  <c:v>3.4415584415584415</c:v>
                </c:pt>
                <c:pt idx="2">
                  <c:v>3.2994350282485878</c:v>
                </c:pt>
                <c:pt idx="3">
                  <c:v>3.098901098901099</c:v>
                </c:pt>
                <c:pt idx="4">
                  <c:v>2.9199549041713642</c:v>
                </c:pt>
                <c:pt idx="5">
                  <c:v>3.1</c:v>
                </c:pt>
                <c:pt idx="6">
                  <c:v>3.4827586206896552</c:v>
                </c:pt>
                <c:pt idx="7">
                  <c:v>3.6768292682926829</c:v>
                </c:pt>
                <c:pt idx="8">
                  <c:v>3.593406593406594</c:v>
                </c:pt>
                <c:pt idx="9">
                  <c:v>2.9514321295143215</c:v>
                </c:pt>
                <c:pt idx="10">
                  <c:v>3.0371203599550056</c:v>
                </c:pt>
                <c:pt idx="11">
                  <c:v>3.7987421383647799</c:v>
                </c:pt>
                <c:pt idx="12">
                  <c:v>3.7118644067796613</c:v>
                </c:pt>
                <c:pt idx="13">
                  <c:v>3.3643410852713176</c:v>
                </c:pt>
                <c:pt idx="14">
                  <c:v>3.097826086956522</c:v>
                </c:pt>
                <c:pt idx="15">
                  <c:v>3.339382940108893</c:v>
                </c:pt>
                <c:pt idx="16">
                  <c:v>2.4179104477611939</c:v>
                </c:pt>
                <c:pt idx="17">
                  <c:v>3.65606936416185</c:v>
                </c:pt>
                <c:pt idx="18">
                  <c:v>2.861198738170347</c:v>
                </c:pt>
                <c:pt idx="19">
                  <c:v>3.4448160535117061</c:v>
                </c:pt>
                <c:pt idx="20">
                  <c:v>3.3617021276595747</c:v>
                </c:pt>
                <c:pt idx="21">
                  <c:v>3.3895131086142323</c:v>
                </c:pt>
                <c:pt idx="22">
                  <c:v>3.5533333333333332</c:v>
                </c:pt>
                <c:pt idx="23">
                  <c:v>3.7867647058823533</c:v>
                </c:pt>
                <c:pt idx="24">
                  <c:v>3.9698795180722892</c:v>
                </c:pt>
                <c:pt idx="25">
                  <c:v>3.3876811594202896</c:v>
                </c:pt>
                <c:pt idx="26">
                  <c:v>3.3015873015873014</c:v>
                </c:pt>
                <c:pt idx="27">
                  <c:v>3.4826086956521736</c:v>
                </c:pt>
                <c:pt idx="28">
                  <c:v>2.5909090909090913</c:v>
                </c:pt>
                <c:pt idx="29">
                  <c:v>4.0303030303030312</c:v>
                </c:pt>
                <c:pt idx="30">
                  <c:v>4.1624365482233507</c:v>
                </c:pt>
                <c:pt idx="31">
                  <c:v>2.9529780564263324</c:v>
                </c:pt>
                <c:pt idx="32">
                  <c:v>2.9809104258443466</c:v>
                </c:pt>
                <c:pt idx="33">
                  <c:v>3.4246575342465753</c:v>
                </c:pt>
                <c:pt idx="34">
                  <c:v>3.6483931947069945</c:v>
                </c:pt>
                <c:pt idx="35">
                  <c:v>1.6876574307304786</c:v>
                </c:pt>
                <c:pt idx="36">
                  <c:v>1.6909090909090911</c:v>
                </c:pt>
                <c:pt idx="37">
                  <c:v>1.5235294117647058</c:v>
                </c:pt>
                <c:pt idx="38">
                  <c:v>1.5437956204379562</c:v>
                </c:pt>
                <c:pt idx="39">
                  <c:v>1.7380660954712361</c:v>
                </c:pt>
                <c:pt idx="40">
                  <c:v>1.5040322580645162</c:v>
                </c:pt>
                <c:pt idx="41">
                  <c:v>3.8930232558139535</c:v>
                </c:pt>
                <c:pt idx="42">
                  <c:v>3.5278810408921939</c:v>
                </c:pt>
                <c:pt idx="43">
                  <c:v>2.9018492176386914</c:v>
                </c:pt>
                <c:pt idx="44">
                  <c:v>2.8912783751493429</c:v>
                </c:pt>
                <c:pt idx="45">
                  <c:v>3.3043478260869565</c:v>
                </c:pt>
                <c:pt idx="46">
                  <c:v>4.0625</c:v>
                </c:pt>
                <c:pt idx="47">
                  <c:v>1.5982241953385128</c:v>
                </c:pt>
                <c:pt idx="48">
                  <c:v>1.5249999999999999</c:v>
                </c:pt>
                <c:pt idx="49">
                  <c:v>1.5505882352941178</c:v>
                </c:pt>
                <c:pt idx="50">
                  <c:v>1.5052631578947369</c:v>
                </c:pt>
                <c:pt idx="51">
                  <c:v>1.4894736842105263</c:v>
                </c:pt>
                <c:pt idx="52">
                  <c:v>1.5032467532467533</c:v>
                </c:pt>
                <c:pt idx="53">
                  <c:v>3.4271099744245523</c:v>
                </c:pt>
                <c:pt idx="54">
                  <c:v>3.0333333333333332</c:v>
                </c:pt>
                <c:pt idx="55">
                  <c:v>2.6748466257668713</c:v>
                </c:pt>
                <c:pt idx="56">
                  <c:v>2.8307692307692309</c:v>
                </c:pt>
                <c:pt idx="57">
                  <c:v>2.9213483146067416</c:v>
                </c:pt>
                <c:pt idx="58">
                  <c:v>4.3096234309623433</c:v>
                </c:pt>
                <c:pt idx="59">
                  <c:v>3.2220795892169445</c:v>
                </c:pt>
                <c:pt idx="60">
                  <c:v>2.8613861386138613</c:v>
                </c:pt>
                <c:pt idx="61">
                  <c:v>2.4957983193277311</c:v>
                </c:pt>
                <c:pt idx="62">
                  <c:v>2.8694158075601375</c:v>
                </c:pt>
                <c:pt idx="63">
                  <c:v>2.8750000000000004</c:v>
                </c:pt>
                <c:pt idx="64">
                  <c:v>4.8928571428571432</c:v>
                </c:pt>
                <c:pt idx="65">
                  <c:v>4.9941176470588236</c:v>
                </c:pt>
                <c:pt idx="66">
                  <c:v>4.3636363636363633</c:v>
                </c:pt>
                <c:pt idx="67">
                  <c:v>4.2524271844660193</c:v>
                </c:pt>
                <c:pt idx="68">
                  <c:v>4.0069444444444446</c:v>
                </c:pt>
                <c:pt idx="69">
                  <c:v>6.8046874999999991</c:v>
                </c:pt>
                <c:pt idx="70">
                  <c:v>1.8015873015873016</c:v>
                </c:pt>
                <c:pt idx="71">
                  <c:v>1.6651982378854624</c:v>
                </c:pt>
                <c:pt idx="72">
                  <c:v>1.5480093676814985</c:v>
                </c:pt>
                <c:pt idx="73">
                  <c:v>1.4417475728155338</c:v>
                </c:pt>
                <c:pt idx="74">
                  <c:v>1.5369458128078817</c:v>
                </c:pt>
                <c:pt idx="75">
                  <c:v>1.6027088036117381</c:v>
                </c:pt>
                <c:pt idx="76">
                  <c:v>1.8430379746835441</c:v>
                </c:pt>
                <c:pt idx="77">
                  <c:v>1.7994722955145119</c:v>
                </c:pt>
                <c:pt idx="78">
                  <c:v>1.4594594594594594</c:v>
                </c:pt>
                <c:pt idx="79">
                  <c:v>1.7623497997329771</c:v>
                </c:pt>
                <c:pt idx="80">
                  <c:v>1.6377171215880895</c:v>
                </c:pt>
                <c:pt idx="81">
                  <c:v>1.5756457564575646</c:v>
                </c:pt>
                <c:pt idx="82">
                  <c:v>1.8444444444444446</c:v>
                </c:pt>
                <c:pt idx="83">
                  <c:v>1.7692307692307694</c:v>
                </c:pt>
                <c:pt idx="84">
                  <c:v>1.2428842504743833</c:v>
                </c:pt>
                <c:pt idx="85">
                  <c:v>1.5463258785942491</c:v>
                </c:pt>
                <c:pt idx="86">
                  <c:v>1.453287197231834</c:v>
                </c:pt>
                <c:pt idx="87">
                  <c:v>1.5985401459854014</c:v>
                </c:pt>
                <c:pt idx="88">
                  <c:v>1.5309446254071659</c:v>
                </c:pt>
                <c:pt idx="89">
                  <c:v>1.452054794520548</c:v>
                </c:pt>
                <c:pt idx="90">
                  <c:v>1.3709677419354838</c:v>
                </c:pt>
                <c:pt idx="91">
                  <c:v>1.3922413793103448</c:v>
                </c:pt>
                <c:pt idx="92">
                  <c:v>1.4774774774774775</c:v>
                </c:pt>
                <c:pt idx="93">
                  <c:v>1.3872180451127818</c:v>
                </c:pt>
                <c:pt idx="94">
                  <c:v>1.5699999999999998</c:v>
                </c:pt>
                <c:pt idx="95">
                  <c:v>1.6015625</c:v>
                </c:pt>
                <c:pt idx="96">
                  <c:v>1.5846153846153848</c:v>
                </c:pt>
                <c:pt idx="97">
                  <c:v>1.5750708215297453</c:v>
                </c:pt>
                <c:pt idx="98">
                  <c:v>1.4244604316546763</c:v>
                </c:pt>
                <c:pt idx="99">
                  <c:v>1.5977175463623394</c:v>
                </c:pt>
                <c:pt idx="100">
                  <c:v>1.5746268656716418</c:v>
                </c:pt>
                <c:pt idx="101">
                  <c:v>1.6294820717131473</c:v>
                </c:pt>
                <c:pt idx="102">
                  <c:v>1.3811074918566775</c:v>
                </c:pt>
                <c:pt idx="103">
                  <c:v>1.6638225255972696</c:v>
                </c:pt>
                <c:pt idx="104">
                  <c:v>1.3350515463917525</c:v>
                </c:pt>
                <c:pt idx="105">
                  <c:v>1.5754716981132075</c:v>
                </c:pt>
                <c:pt idx="106">
                  <c:v>1.5263157894736843</c:v>
                </c:pt>
                <c:pt idx="107">
                  <c:v>1.6022727272727271</c:v>
                </c:pt>
                <c:pt idx="108">
                  <c:v>1.5502645502645505</c:v>
                </c:pt>
                <c:pt idx="109">
                  <c:v>1.6649848637739657</c:v>
                </c:pt>
                <c:pt idx="110">
                  <c:v>1.3909774436090225</c:v>
                </c:pt>
                <c:pt idx="111">
                  <c:v>1.6376811594202898</c:v>
                </c:pt>
                <c:pt idx="112">
                  <c:v>1.6024844720496894</c:v>
                </c:pt>
                <c:pt idx="113">
                  <c:v>1.5585585585585586</c:v>
                </c:pt>
                <c:pt idx="114">
                  <c:v>1.4291044776119401</c:v>
                </c:pt>
                <c:pt idx="115">
                  <c:v>1.5071428571428573</c:v>
                </c:pt>
                <c:pt idx="116">
                  <c:v>2.2263681592039801</c:v>
                </c:pt>
                <c:pt idx="117">
                  <c:v>1.6181818181818182</c:v>
                </c:pt>
                <c:pt idx="118">
                  <c:v>1.5729166666666665</c:v>
                </c:pt>
                <c:pt idx="119">
                  <c:v>1.6198156682027649</c:v>
                </c:pt>
                <c:pt idx="120">
                  <c:v>1.620253164556962</c:v>
                </c:pt>
                <c:pt idx="121">
                  <c:v>1.5909090909090908</c:v>
                </c:pt>
                <c:pt idx="122">
                  <c:v>1.4440559440559442</c:v>
                </c:pt>
                <c:pt idx="123">
                  <c:v>1.728813559322034</c:v>
                </c:pt>
                <c:pt idx="124">
                  <c:v>1.6947368421052633</c:v>
                </c:pt>
                <c:pt idx="125">
                  <c:v>1.6660194174757281</c:v>
                </c:pt>
                <c:pt idx="126">
                  <c:v>1.5957446808510638</c:v>
                </c:pt>
                <c:pt idx="127">
                  <c:v>1.6578108395324123</c:v>
                </c:pt>
                <c:pt idx="128">
                  <c:v>1.4420600858369097</c:v>
                </c:pt>
                <c:pt idx="129">
                  <c:v>1.6183745583038869</c:v>
                </c:pt>
                <c:pt idx="130">
                  <c:v>1.588082901554404</c:v>
                </c:pt>
                <c:pt idx="131">
                  <c:v>1.6573033707865168</c:v>
                </c:pt>
                <c:pt idx="132">
                  <c:v>1.6864864864864864</c:v>
                </c:pt>
                <c:pt idx="133">
                  <c:v>1.5337423312883436</c:v>
                </c:pt>
                <c:pt idx="134">
                  <c:v>1.3415300546448088</c:v>
                </c:pt>
                <c:pt idx="135">
                  <c:v>1.6196078431372547</c:v>
                </c:pt>
                <c:pt idx="136">
                  <c:v>1.6420047732696896</c:v>
                </c:pt>
                <c:pt idx="137">
                  <c:v>1.7035040431266846</c:v>
                </c:pt>
                <c:pt idx="138">
                  <c:v>1.6689655172413793</c:v>
                </c:pt>
                <c:pt idx="139">
                  <c:v>1.5683814303638646</c:v>
                </c:pt>
                <c:pt idx="140">
                  <c:v>1.3753846153846152</c:v>
                </c:pt>
                <c:pt idx="141">
                  <c:v>1.6544789762340035</c:v>
                </c:pt>
                <c:pt idx="142">
                  <c:v>1.7304832713754648</c:v>
                </c:pt>
                <c:pt idx="143">
                  <c:v>1.7348608837970541</c:v>
                </c:pt>
                <c:pt idx="144">
                  <c:v>1.5561497326203211</c:v>
                </c:pt>
                <c:pt idx="145">
                  <c:v>1.462478184991274</c:v>
                </c:pt>
                <c:pt idx="146">
                  <c:v>1.4126984126984128</c:v>
                </c:pt>
                <c:pt idx="147">
                  <c:v>1.6210131332082554</c:v>
                </c:pt>
                <c:pt idx="148">
                  <c:v>1.6615384615384616</c:v>
                </c:pt>
                <c:pt idx="149">
                  <c:v>1.691616766467066</c:v>
                </c:pt>
                <c:pt idx="150">
                  <c:v>1.7361111111111112</c:v>
                </c:pt>
                <c:pt idx="151">
                  <c:v>1.5943396226415094</c:v>
                </c:pt>
                <c:pt idx="152">
                  <c:v>1.4453333333333334</c:v>
                </c:pt>
                <c:pt idx="153">
                  <c:v>1.5913978494623655</c:v>
                </c:pt>
                <c:pt idx="154">
                  <c:v>1.5981651376146788</c:v>
                </c:pt>
                <c:pt idx="155">
                  <c:v>1.7277227722772277</c:v>
                </c:pt>
                <c:pt idx="156">
                  <c:v>1.6721311475409837</c:v>
                </c:pt>
                <c:pt idx="157">
                  <c:v>1.5695970695970696</c:v>
                </c:pt>
                <c:pt idx="158">
                  <c:v>1.669921875</c:v>
                </c:pt>
                <c:pt idx="159">
                  <c:v>1.711835334476844</c:v>
                </c:pt>
                <c:pt idx="160">
                  <c:v>1.6441005802707929</c:v>
                </c:pt>
                <c:pt idx="162">
                  <c:v>1.4824561403508769</c:v>
                </c:pt>
                <c:pt idx="163">
                  <c:v>1.3139534883720931</c:v>
                </c:pt>
                <c:pt idx="164">
                  <c:v>1.3857142857142857</c:v>
                </c:pt>
                <c:pt idx="165">
                  <c:v>1.4603174603174602</c:v>
                </c:pt>
                <c:pt idx="166">
                  <c:v>1.5905511811023623</c:v>
                </c:pt>
                <c:pt idx="167">
                  <c:v>1.5741239892183287</c:v>
                </c:pt>
                <c:pt idx="168">
                  <c:v>1.7704918032786885</c:v>
                </c:pt>
                <c:pt idx="169">
                  <c:v>1.6329113924050633</c:v>
                </c:pt>
                <c:pt idx="170">
                  <c:v>1.5629139072847684</c:v>
                </c:pt>
                <c:pt idx="171">
                  <c:v>1.7060367454068242</c:v>
                </c:pt>
                <c:pt idx="172">
                  <c:v>1.6744186046511629</c:v>
                </c:pt>
                <c:pt idx="173">
                  <c:v>1.456</c:v>
                </c:pt>
                <c:pt idx="174">
                  <c:v>1.3801652892561984</c:v>
                </c:pt>
                <c:pt idx="175">
                  <c:v>1.3584615384615384</c:v>
                </c:pt>
                <c:pt idx="176">
                  <c:v>1.5052356020942408</c:v>
                </c:pt>
                <c:pt idx="177">
                  <c:v>1.5814479638009049</c:v>
                </c:pt>
                <c:pt idx="178">
                  <c:v>1.5097087378640777</c:v>
                </c:pt>
                <c:pt idx="179">
                  <c:v>1.4666666666666668</c:v>
                </c:pt>
                <c:pt idx="180">
                  <c:v>1.3594009983361066</c:v>
                </c:pt>
                <c:pt idx="181">
                  <c:v>1.294478527607362</c:v>
                </c:pt>
                <c:pt idx="182">
                  <c:v>1.5629370629370629</c:v>
                </c:pt>
                <c:pt idx="183">
                  <c:v>1.4816176470588234</c:v>
                </c:pt>
                <c:pt idx="184">
                  <c:v>1.4823943661971832</c:v>
                </c:pt>
                <c:pt idx="185">
                  <c:v>1.4792626728110601</c:v>
                </c:pt>
                <c:pt idx="186">
                  <c:v>1.5527950310559004</c:v>
                </c:pt>
                <c:pt idx="187">
                  <c:v>1.6237623762376237</c:v>
                </c:pt>
                <c:pt idx="188">
                  <c:v>1.5313351498637602</c:v>
                </c:pt>
                <c:pt idx="189">
                  <c:v>1.4305949008498584</c:v>
                </c:pt>
                <c:pt idx="190">
                  <c:v>1.4666666666666668</c:v>
                </c:pt>
                <c:pt idx="191">
                  <c:v>1.5</c:v>
                </c:pt>
                <c:pt idx="192">
                  <c:v>1.5542168674698795</c:v>
                </c:pt>
                <c:pt idx="193">
                  <c:v>1.5596330275229358</c:v>
                </c:pt>
                <c:pt idx="194">
                  <c:v>1.3985765124555158</c:v>
                </c:pt>
                <c:pt idx="195">
                  <c:v>1.4527027027027026</c:v>
                </c:pt>
                <c:pt idx="196">
                  <c:v>1.1086142322097379</c:v>
                </c:pt>
                <c:pt idx="197">
                  <c:v>1.4049079754601226</c:v>
                </c:pt>
                <c:pt idx="198">
                  <c:v>1.5169491525423726</c:v>
                </c:pt>
                <c:pt idx="199">
                  <c:v>1.6155660377358489</c:v>
                </c:pt>
                <c:pt idx="200">
                  <c:v>1.4361702127659575</c:v>
                </c:pt>
                <c:pt idx="201">
                  <c:v>1.4219653179190752</c:v>
                </c:pt>
                <c:pt idx="202">
                  <c:v>1.4052631578947368</c:v>
                </c:pt>
                <c:pt idx="203">
                  <c:v>1.4257425742574259</c:v>
                </c:pt>
                <c:pt idx="204">
                  <c:v>1.3974358974358976</c:v>
                </c:pt>
                <c:pt idx="205">
                  <c:v>1.4732593340060545</c:v>
                </c:pt>
                <c:pt idx="206">
                  <c:v>1.5418994413407823</c:v>
                </c:pt>
                <c:pt idx="207">
                  <c:v>1.4999999999999998</c:v>
                </c:pt>
                <c:pt idx="208">
                  <c:v>1.0656565656565657</c:v>
                </c:pt>
                <c:pt idx="209">
                  <c:v>1.2792452830188679</c:v>
                </c:pt>
                <c:pt idx="210">
                  <c:v>1.3222748815165875</c:v>
                </c:pt>
                <c:pt idx="211">
                  <c:v>1.4240000000000002</c:v>
                </c:pt>
                <c:pt idx="212">
                  <c:v>1.6161971830985915</c:v>
                </c:pt>
                <c:pt idx="213">
                  <c:v>1.5849802371541502</c:v>
                </c:pt>
                <c:pt idx="214">
                  <c:v>1.5022222222222221</c:v>
                </c:pt>
                <c:pt idx="215">
                  <c:v>1.3616236162361623</c:v>
                </c:pt>
                <c:pt idx="216">
                  <c:v>1.3899613899613901</c:v>
                </c:pt>
                <c:pt idx="217">
                  <c:v>1.4689265536723164</c:v>
                </c:pt>
                <c:pt idx="218">
                  <c:v>1.7040816326530615</c:v>
                </c:pt>
                <c:pt idx="219">
                  <c:v>1.671186440677966</c:v>
                </c:pt>
                <c:pt idx="220">
                  <c:v>1.6025236593059937</c:v>
                </c:pt>
                <c:pt idx="221">
                  <c:v>1.4266666666666665</c:v>
                </c:pt>
                <c:pt idx="222">
                  <c:v>1.573076923076923</c:v>
                </c:pt>
                <c:pt idx="223">
                  <c:v>1.6845238095238095</c:v>
                </c:pt>
                <c:pt idx="224">
                  <c:v>1.4595744680851062</c:v>
                </c:pt>
                <c:pt idx="225">
                  <c:v>1.5496453900709222</c:v>
                </c:pt>
                <c:pt idx="226">
                  <c:v>1.5116883116883117</c:v>
                </c:pt>
                <c:pt idx="227">
                  <c:v>1.5483870967741935</c:v>
                </c:pt>
                <c:pt idx="228">
                  <c:v>1.6485355648535565</c:v>
                </c:pt>
                <c:pt idx="229">
                  <c:v>1.6559999999999999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7D2-E64C-B1B4-91C0A64EC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6317311"/>
        <c:axId val="1319309695"/>
      </c:scatterChart>
      <c:valAx>
        <c:axId val="126631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09695"/>
        <c:crosses val="autoZero"/>
        <c:crossBetween val="midCat"/>
      </c:valAx>
      <c:valAx>
        <c:axId val="131930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1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317500</xdr:colOff>
      <xdr:row>7</xdr:row>
      <xdr:rowOff>12700</xdr:rowOff>
    </xdr:from>
    <xdr:to>
      <xdr:col>24</xdr:col>
      <xdr:colOff>177800</xdr:colOff>
      <xdr:row>21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1ACEC-E9E5-3759-A8DE-EEDE53B43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3"/>
  <sheetViews>
    <sheetView tabSelected="1" workbookViewId="0">
      <pane xSplit="1" ySplit="3" topLeftCell="H207" activePane="bottomRight" state="frozen"/>
      <selection pane="topRight" activeCell="D1" sqref="D1"/>
      <selection pane="bottomLeft" activeCell="A3" sqref="A3"/>
      <selection pane="bottomRight" activeCell="J222" sqref="J222"/>
    </sheetView>
  </sheetViews>
  <sheetFormatPr baseColWidth="10" defaultColWidth="8.83203125" defaultRowHeight="15" x14ac:dyDescent="0.2"/>
  <cols>
    <col min="1" max="1" width="14.5" style="1" customWidth="1"/>
    <col min="2" max="2" width="19.6640625" style="1" bestFit="1" customWidth="1"/>
    <col min="3" max="3" width="7.6640625" style="1" bestFit="1" customWidth="1"/>
    <col min="4" max="4" width="11.33203125" style="2" bestFit="1" customWidth="1"/>
    <col min="5" max="6" width="11.33203125" style="2" customWidth="1"/>
    <col min="7" max="7" width="6.5" style="2" customWidth="1"/>
    <col min="8" max="9" width="8.83203125" style="6"/>
    <col min="11" max="15" width="8.83203125" style="6"/>
    <col min="16" max="16" width="10.83203125" customWidth="1"/>
    <col min="17" max="17" width="11.83203125" customWidth="1"/>
    <col min="19" max="20" width="8.83203125" style="6"/>
  </cols>
  <sheetData>
    <row r="1" spans="1:27" x14ac:dyDescent="0.2">
      <c r="Q1" s="16" t="s">
        <v>14</v>
      </c>
    </row>
    <row r="2" spans="1:27" s="9" customFormat="1" ht="13.25" customHeight="1" x14ac:dyDescent="0.15">
      <c r="A2" s="10">
        <v>45323</v>
      </c>
      <c r="B2" s="9" t="s">
        <v>5</v>
      </c>
      <c r="D2" s="3" t="s">
        <v>4</v>
      </c>
      <c r="E2" s="3"/>
      <c r="F2" s="3"/>
      <c r="G2" s="3"/>
      <c r="H2" s="8"/>
      <c r="I2" s="3"/>
      <c r="J2" s="3"/>
      <c r="Q2" s="16"/>
      <c r="S2" s="8"/>
      <c r="T2" s="8"/>
      <c r="U2" s="3"/>
      <c r="V2" s="11"/>
      <c r="W2" s="3"/>
      <c r="X2" s="3"/>
      <c r="Y2" s="3"/>
      <c r="Z2" s="8"/>
      <c r="AA2" s="8"/>
    </row>
    <row r="3" spans="1:27" x14ac:dyDescent="0.2">
      <c r="A3" s="3" t="s">
        <v>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21</v>
      </c>
      <c r="G3" s="3" t="s">
        <v>27</v>
      </c>
      <c r="H3" s="3" t="s">
        <v>2</v>
      </c>
      <c r="I3" s="7" t="s">
        <v>3</v>
      </c>
      <c r="K3" s="8" t="s">
        <v>6</v>
      </c>
      <c r="L3" s="8" t="s">
        <v>64</v>
      </c>
      <c r="M3" s="8" t="s">
        <v>7</v>
      </c>
      <c r="N3" s="8" t="s">
        <v>8</v>
      </c>
      <c r="O3" s="8"/>
      <c r="P3" s="8" t="s">
        <v>10</v>
      </c>
      <c r="Q3" s="16"/>
    </row>
    <row r="4" spans="1:27" x14ac:dyDescent="0.2">
      <c r="A4">
        <v>0</v>
      </c>
      <c r="B4" s="4">
        <v>45170</v>
      </c>
      <c r="C4" s="17">
        <v>1</v>
      </c>
      <c r="D4" s="2">
        <v>24</v>
      </c>
      <c r="E4" s="2" t="s">
        <v>15</v>
      </c>
      <c r="F4" s="2">
        <v>2</v>
      </c>
      <c r="G4">
        <v>4</v>
      </c>
      <c r="H4" s="6">
        <v>1.5280400213258354</v>
      </c>
      <c r="I4" s="6">
        <v>0.67197289857862197</v>
      </c>
      <c r="K4" s="6">
        <f>H4/I4</f>
        <v>2.2739607870466103</v>
      </c>
      <c r="L4" s="6">
        <f>I4/H4</f>
        <v>0.4397613211698283</v>
      </c>
      <c r="M4" s="6">
        <v>4.9056603773584904</v>
      </c>
      <c r="N4" s="6">
        <v>0.20384615384615384</v>
      </c>
      <c r="Q4" s="12">
        <v>2.0500000000000001E-2</v>
      </c>
    </row>
    <row r="5" spans="1:27" x14ac:dyDescent="0.2">
      <c r="A5">
        <v>1</v>
      </c>
      <c r="B5" s="4">
        <v>45172</v>
      </c>
      <c r="C5" s="17">
        <v>1</v>
      </c>
      <c r="D5" s="2">
        <v>24</v>
      </c>
      <c r="E5" s="2" t="s">
        <v>20</v>
      </c>
      <c r="F5" s="2">
        <v>2</v>
      </c>
      <c r="G5">
        <v>3</v>
      </c>
      <c r="H5" s="6">
        <v>0.34694628503533459</v>
      </c>
      <c r="I5" s="6">
        <v>0.4521150113450581</v>
      </c>
      <c r="K5" s="6">
        <f t="shared" ref="K5:K68" si="0">H5/I5</f>
        <v>0.76738501560290417</v>
      </c>
      <c r="L5" s="6">
        <f t="shared" ref="L5:L66" si="1">I5/H5</f>
        <v>1.3031268263875853</v>
      </c>
      <c r="M5" s="6">
        <v>3.4415584415584415</v>
      </c>
      <c r="N5" s="6">
        <v>0.29056603773584905</v>
      </c>
      <c r="Q5" s="12">
        <v>2.3300000000000001E-2</v>
      </c>
    </row>
    <row r="6" spans="1:27" x14ac:dyDescent="0.2">
      <c r="A6">
        <v>1</v>
      </c>
      <c r="B6" s="4">
        <v>45172</v>
      </c>
      <c r="C6" s="17">
        <v>1</v>
      </c>
      <c r="D6" s="2">
        <v>22</v>
      </c>
      <c r="E6" s="2" t="s">
        <v>19</v>
      </c>
      <c r="F6" s="2">
        <v>2</v>
      </c>
      <c r="G6">
        <v>10</v>
      </c>
      <c r="H6" s="6">
        <v>0.37555089896112021</v>
      </c>
      <c r="I6" s="6">
        <v>0.5428507209046558</v>
      </c>
      <c r="K6" s="6">
        <f t="shared" si="0"/>
        <v>0.69181247164094772</v>
      </c>
      <c r="L6" s="6">
        <f t="shared" si="1"/>
        <v>1.4454784222493786</v>
      </c>
      <c r="M6" s="6">
        <v>3.2994350282485878</v>
      </c>
      <c r="N6" s="6">
        <v>0.30308219178082191</v>
      </c>
      <c r="Q6" s="12">
        <v>2.64E-2</v>
      </c>
    </row>
    <row r="7" spans="1:27" x14ac:dyDescent="0.2">
      <c r="A7">
        <v>1</v>
      </c>
      <c r="B7" s="4">
        <v>45172</v>
      </c>
      <c r="C7" s="17">
        <v>1</v>
      </c>
      <c r="D7" s="2">
        <v>16</v>
      </c>
      <c r="E7" s="2" t="s">
        <v>18</v>
      </c>
      <c r="F7" s="2">
        <v>2</v>
      </c>
      <c r="G7">
        <v>20</v>
      </c>
      <c r="H7" s="6">
        <v>0.88120665481049076</v>
      </c>
      <c r="I7" s="6">
        <v>1.4796562663133963</v>
      </c>
      <c r="K7" s="6">
        <f t="shared" si="0"/>
        <v>0.59554821945642888</v>
      </c>
      <c r="L7" s="6">
        <f t="shared" si="1"/>
        <v>1.6791251612047868</v>
      </c>
      <c r="M7" s="6">
        <v>3.098901098901099</v>
      </c>
      <c r="N7" s="6">
        <v>0.32269503546099293</v>
      </c>
      <c r="Q7" s="12">
        <v>2.75E-2</v>
      </c>
    </row>
    <row r="8" spans="1:27" x14ac:dyDescent="0.2">
      <c r="A8">
        <v>1</v>
      </c>
      <c r="B8" s="4">
        <v>45172</v>
      </c>
      <c r="C8" s="17">
        <v>1</v>
      </c>
      <c r="D8" s="2">
        <v>10</v>
      </c>
      <c r="E8" s="2" t="s">
        <v>17</v>
      </c>
      <c r="F8" s="2">
        <v>2</v>
      </c>
      <c r="G8">
        <v>30</v>
      </c>
      <c r="H8" s="6">
        <v>1.5714083069552522</v>
      </c>
      <c r="I8" s="6">
        <v>3.0309772118071394</v>
      </c>
      <c r="K8" s="6">
        <f t="shared" si="0"/>
        <v>0.51844939672718349</v>
      </c>
      <c r="L8" s="6">
        <f t="shared" si="1"/>
        <v>1.9288285535921188</v>
      </c>
      <c r="M8" s="6">
        <v>2.9199549041713642</v>
      </c>
      <c r="N8" s="6">
        <v>0.34247104247104249</v>
      </c>
      <c r="Q8" s="12">
        <v>3.4099999999999998E-2</v>
      </c>
    </row>
    <row r="9" spans="1:27" x14ac:dyDescent="0.2">
      <c r="A9">
        <v>1</v>
      </c>
      <c r="B9" s="4">
        <v>45172</v>
      </c>
      <c r="C9" s="17">
        <v>1</v>
      </c>
      <c r="D9" s="2">
        <v>5</v>
      </c>
      <c r="E9" s="2" t="s">
        <v>16</v>
      </c>
      <c r="F9" s="2">
        <v>2</v>
      </c>
      <c r="G9">
        <v>37</v>
      </c>
      <c r="H9" s="6">
        <v>1.9377319111016027</v>
      </c>
      <c r="I9" s="6">
        <v>3.2509778056541938</v>
      </c>
      <c r="K9" s="6">
        <f t="shared" si="0"/>
        <v>0.59604587509992957</v>
      </c>
      <c r="L9" s="6">
        <f t="shared" si="1"/>
        <v>1.677723211879196</v>
      </c>
      <c r="M9" s="6">
        <v>3.1</v>
      </c>
      <c r="N9" s="6">
        <v>0.32258064516129031</v>
      </c>
      <c r="P9">
        <v>37</v>
      </c>
      <c r="Q9" s="13">
        <v>5.1299999999999998E-2</v>
      </c>
    </row>
    <row r="10" spans="1:27" x14ac:dyDescent="0.2">
      <c r="A10">
        <v>2</v>
      </c>
      <c r="B10" s="4">
        <v>45172</v>
      </c>
      <c r="C10" s="17">
        <v>1</v>
      </c>
      <c r="D10" s="2">
        <v>25</v>
      </c>
      <c r="E10" s="2" t="s">
        <v>26</v>
      </c>
      <c r="F10" s="2">
        <v>2</v>
      </c>
      <c r="G10">
        <v>3</v>
      </c>
      <c r="H10" s="6">
        <v>0.26574609066536264</v>
      </c>
      <c r="I10" s="6">
        <v>0.33614423647830965</v>
      </c>
      <c r="K10" s="6">
        <f t="shared" si="0"/>
        <v>0.79057161131040365</v>
      </c>
      <c r="L10" s="6">
        <f t="shared" si="1"/>
        <v>1.2649075500478197</v>
      </c>
      <c r="M10" s="6">
        <v>3.4827586206896552</v>
      </c>
      <c r="N10" s="6">
        <v>0.28712871287128711</v>
      </c>
      <c r="Q10" s="12">
        <v>2.1999999999999999E-2</v>
      </c>
    </row>
    <row r="11" spans="1:27" x14ac:dyDescent="0.2">
      <c r="A11">
        <v>2</v>
      </c>
      <c r="B11" s="4">
        <v>45172</v>
      </c>
      <c r="C11" s="17">
        <v>1</v>
      </c>
      <c r="D11" s="2">
        <v>23</v>
      </c>
      <c r="E11" s="2" t="s">
        <v>25</v>
      </c>
      <c r="F11" s="2">
        <v>2</v>
      </c>
      <c r="G11">
        <v>10</v>
      </c>
      <c r="H11" s="6">
        <v>0.40507824236838263</v>
      </c>
      <c r="I11" s="6">
        <v>0.44587015117956791</v>
      </c>
      <c r="K11" s="6">
        <f t="shared" si="0"/>
        <v>0.9085116850651056</v>
      </c>
      <c r="L11" s="6">
        <f t="shared" si="1"/>
        <v>1.1007013079070505</v>
      </c>
      <c r="M11" s="6">
        <v>3.6768292682926829</v>
      </c>
      <c r="N11" s="6">
        <v>0.27197346600331673</v>
      </c>
      <c r="Q11" s="12">
        <v>2.1999999999999999E-2</v>
      </c>
    </row>
    <row r="12" spans="1:27" x14ac:dyDescent="0.2">
      <c r="A12">
        <v>2</v>
      </c>
      <c r="B12" s="4">
        <v>45172</v>
      </c>
      <c r="C12" s="17">
        <v>1</v>
      </c>
      <c r="D12" s="2">
        <v>18</v>
      </c>
      <c r="E12" s="2" t="s">
        <v>24</v>
      </c>
      <c r="F12" s="2">
        <v>2</v>
      </c>
      <c r="G12">
        <v>20</v>
      </c>
      <c r="H12" s="6">
        <v>0.43552831525712216</v>
      </c>
      <c r="I12" s="6">
        <v>0.50881685319243264</v>
      </c>
      <c r="K12" s="6">
        <f t="shared" si="0"/>
        <v>0.85596283323659283</v>
      </c>
      <c r="L12" s="6">
        <f t="shared" si="1"/>
        <v>1.1682750245343825</v>
      </c>
      <c r="M12" s="6">
        <v>3.593406593406594</v>
      </c>
      <c r="N12" s="6">
        <v>0.27828746177370028</v>
      </c>
      <c r="Q12" s="12">
        <v>2.3199999999999998E-2</v>
      </c>
    </row>
    <row r="13" spans="1:27" x14ac:dyDescent="0.2">
      <c r="A13">
        <v>2</v>
      </c>
      <c r="B13" s="4">
        <v>45172</v>
      </c>
      <c r="C13" s="17">
        <v>1</v>
      </c>
      <c r="D13" s="2">
        <v>12</v>
      </c>
      <c r="E13" s="2" t="s">
        <v>23</v>
      </c>
      <c r="F13" s="2">
        <v>2</v>
      </c>
      <c r="G13">
        <v>30</v>
      </c>
      <c r="H13" s="6">
        <v>1.4459170974743862</v>
      </c>
      <c r="I13" s="6">
        <v>2.720616805080518</v>
      </c>
      <c r="K13" s="6">
        <f t="shared" si="0"/>
        <v>0.53146664931800036</v>
      </c>
      <c r="L13" s="6">
        <f t="shared" si="1"/>
        <v>1.8815856108435791</v>
      </c>
      <c r="M13" s="6">
        <v>2.9514321295143215</v>
      </c>
      <c r="N13" s="6">
        <v>0.33881856540084387</v>
      </c>
      <c r="Q13" s="12">
        <v>2.9399999999999999E-2</v>
      </c>
    </row>
    <row r="14" spans="1:27" x14ac:dyDescent="0.2">
      <c r="A14">
        <v>2</v>
      </c>
      <c r="B14" s="4">
        <v>45172</v>
      </c>
      <c r="C14" s="17">
        <v>1</v>
      </c>
      <c r="D14" s="2">
        <v>1</v>
      </c>
      <c r="E14" s="2" t="s">
        <v>22</v>
      </c>
      <c r="F14" s="2">
        <v>2</v>
      </c>
      <c r="G14">
        <v>40</v>
      </c>
      <c r="H14" s="6">
        <v>1.671063090954763</v>
      </c>
      <c r="I14" s="6">
        <v>2.9416998472411402</v>
      </c>
      <c r="K14" s="6">
        <f t="shared" si="0"/>
        <v>0.56806036568345408</v>
      </c>
      <c r="L14" s="6">
        <f t="shared" si="1"/>
        <v>1.7603762916936894</v>
      </c>
      <c r="M14" s="6">
        <v>3.0371203599550056</v>
      </c>
      <c r="N14" s="6">
        <v>0.32925925925925931</v>
      </c>
      <c r="P14">
        <v>40</v>
      </c>
      <c r="Q14" s="13">
        <v>4.36E-2</v>
      </c>
    </row>
    <row r="15" spans="1:27" x14ac:dyDescent="0.2">
      <c r="A15">
        <v>3</v>
      </c>
      <c r="B15" s="4">
        <v>45172</v>
      </c>
      <c r="C15" s="17">
        <v>1</v>
      </c>
      <c r="D15" s="2">
        <v>23</v>
      </c>
      <c r="E15" s="2" t="s">
        <v>28</v>
      </c>
      <c r="F15" s="2">
        <v>2</v>
      </c>
      <c r="G15">
        <v>3</v>
      </c>
      <c r="H15" s="6">
        <v>0.41061461925724441</v>
      </c>
      <c r="I15" s="6">
        <v>0.4143902257069273</v>
      </c>
      <c r="K15" s="6">
        <f t="shared" si="0"/>
        <v>0.9908887656719173</v>
      </c>
      <c r="L15" s="6">
        <f t="shared" si="1"/>
        <v>1.0091950122392441</v>
      </c>
      <c r="M15" s="6">
        <v>3.7987421383647799</v>
      </c>
      <c r="N15" s="6">
        <v>0.26324503311258279</v>
      </c>
      <c r="Q15" s="12">
        <v>2.3300000000000001E-2</v>
      </c>
    </row>
    <row r="16" spans="1:27" x14ac:dyDescent="0.2">
      <c r="A16">
        <v>3</v>
      </c>
      <c r="B16" s="4">
        <v>45172</v>
      </c>
      <c r="C16" s="17">
        <v>1</v>
      </c>
      <c r="D16" s="2">
        <v>22</v>
      </c>
      <c r="E16" s="2" t="s">
        <v>29</v>
      </c>
      <c r="F16" s="2">
        <v>2</v>
      </c>
      <c r="G16">
        <v>10</v>
      </c>
      <c r="H16" s="6">
        <v>0.44291015110893778</v>
      </c>
      <c r="I16" s="6">
        <v>0.47549146875683818</v>
      </c>
      <c r="K16" s="6">
        <f t="shared" si="0"/>
        <v>0.93147864937917069</v>
      </c>
      <c r="L16" s="6">
        <f t="shared" si="1"/>
        <v>1.0735619121989524</v>
      </c>
      <c r="M16" s="6">
        <v>3.7118644067796613</v>
      </c>
      <c r="N16" s="6">
        <v>0.26940639269406391</v>
      </c>
      <c r="Q16" s="12">
        <v>2.4500000000000001E-2</v>
      </c>
    </row>
    <row r="17" spans="1:17" x14ac:dyDescent="0.2">
      <c r="A17">
        <v>3</v>
      </c>
      <c r="B17" s="4">
        <v>45172</v>
      </c>
      <c r="C17" s="17">
        <v>1</v>
      </c>
      <c r="D17" s="2">
        <v>14</v>
      </c>
      <c r="E17" s="2" t="s">
        <v>30</v>
      </c>
      <c r="F17" s="2">
        <v>2</v>
      </c>
      <c r="G17">
        <v>20</v>
      </c>
      <c r="H17" s="6">
        <v>0.56286498370094173</v>
      </c>
      <c r="I17" s="6">
        <v>0.77582212322205368</v>
      </c>
      <c r="K17" s="6">
        <f t="shared" si="0"/>
        <v>0.72550777665802657</v>
      </c>
      <c r="L17" s="6">
        <f t="shared" si="1"/>
        <v>1.378344977370735</v>
      </c>
      <c r="M17" s="6">
        <v>3.3643410852713176</v>
      </c>
      <c r="N17" s="6">
        <v>0.2972350230414747</v>
      </c>
      <c r="Q17" s="12">
        <v>2.5499999999999998E-2</v>
      </c>
    </row>
    <row r="18" spans="1:17" x14ac:dyDescent="0.2">
      <c r="A18">
        <v>3</v>
      </c>
      <c r="B18" s="4">
        <v>45172</v>
      </c>
      <c r="C18" s="17">
        <v>1</v>
      </c>
      <c r="D18" s="2">
        <v>12</v>
      </c>
      <c r="E18" s="2" t="s">
        <v>31</v>
      </c>
      <c r="F18" s="2">
        <v>2</v>
      </c>
      <c r="G18">
        <v>30</v>
      </c>
      <c r="H18" s="6">
        <v>1.4246943194004165</v>
      </c>
      <c r="I18" s="6">
        <v>2.3941960321318492</v>
      </c>
      <c r="K18" s="6">
        <f t="shared" si="0"/>
        <v>0.5950616826191274</v>
      </c>
      <c r="L18" s="6">
        <f t="shared" si="1"/>
        <v>1.6804980545858064</v>
      </c>
      <c r="M18" s="6">
        <v>3.097826086956522</v>
      </c>
      <c r="N18" s="6">
        <v>0.3228070175438596</v>
      </c>
      <c r="P18">
        <v>30</v>
      </c>
      <c r="Q18" s="13">
        <v>4.4699999999999997E-2</v>
      </c>
    </row>
    <row r="19" spans="1:17" x14ac:dyDescent="0.2">
      <c r="A19">
        <v>3</v>
      </c>
      <c r="B19" s="4">
        <v>45172</v>
      </c>
      <c r="C19" s="17">
        <v>1</v>
      </c>
      <c r="D19" s="2">
        <v>6</v>
      </c>
      <c r="E19" s="2" t="s">
        <v>32</v>
      </c>
      <c r="F19" s="2">
        <v>2</v>
      </c>
      <c r="G19">
        <v>40</v>
      </c>
      <c r="H19" s="6">
        <v>1.1893983016237935</v>
      </c>
      <c r="I19" s="6">
        <v>1.6695807523086503</v>
      </c>
      <c r="K19" s="6">
        <f t="shared" si="0"/>
        <v>0.71239339575466842</v>
      </c>
      <c r="L19" s="6">
        <f t="shared" si="1"/>
        <v>1.4037187963269335</v>
      </c>
      <c r="M19" s="6">
        <v>3.339382940108893</v>
      </c>
      <c r="N19" s="6">
        <v>0.29945652173913045</v>
      </c>
      <c r="Q19" s="12">
        <v>4.2700000000000002E-2</v>
      </c>
    </row>
    <row r="20" spans="1:17" x14ac:dyDescent="0.2">
      <c r="A20">
        <v>3</v>
      </c>
      <c r="B20" s="4">
        <v>45172</v>
      </c>
      <c r="C20" s="17">
        <v>1</v>
      </c>
      <c r="D20" s="2">
        <v>1</v>
      </c>
      <c r="E20" s="2" t="s">
        <v>33</v>
      </c>
      <c r="F20" s="2">
        <v>2</v>
      </c>
      <c r="G20">
        <v>52</v>
      </c>
      <c r="H20" s="6">
        <v>0.7012744059224848</v>
      </c>
      <c r="I20" s="6">
        <v>2.079874002258622</v>
      </c>
      <c r="K20" s="6">
        <f t="shared" si="0"/>
        <v>0.33717158114431051</v>
      </c>
      <c r="L20" s="6">
        <f t="shared" si="1"/>
        <v>2.9658490095937142</v>
      </c>
      <c r="M20" s="6">
        <v>2.4179104477611939</v>
      </c>
      <c r="N20" s="6">
        <v>0.41358024691358025</v>
      </c>
      <c r="Q20" s="12">
        <v>3.1099999999999999E-2</v>
      </c>
    </row>
    <row r="21" spans="1:17" x14ac:dyDescent="0.2">
      <c r="A21">
        <v>4</v>
      </c>
      <c r="B21" s="4">
        <v>45173</v>
      </c>
      <c r="C21" s="17">
        <v>1</v>
      </c>
      <c r="D21" s="2">
        <v>24</v>
      </c>
      <c r="E21" s="2" t="s">
        <v>34</v>
      </c>
      <c r="F21" s="2">
        <v>2</v>
      </c>
      <c r="G21">
        <v>4</v>
      </c>
      <c r="H21" s="6">
        <v>0.35340539140567323</v>
      </c>
      <c r="I21" s="6">
        <v>0.42490106610769618</v>
      </c>
      <c r="K21" s="6">
        <f t="shared" si="0"/>
        <v>0.83173571354631171</v>
      </c>
      <c r="L21" s="6">
        <f t="shared" si="1"/>
        <v>1.2023049914933335</v>
      </c>
      <c r="M21" s="6">
        <v>3.65606936416185</v>
      </c>
      <c r="N21" s="6">
        <v>0.2735177865612648</v>
      </c>
      <c r="Q21" s="12">
        <v>2.6599999999999999E-2</v>
      </c>
    </row>
    <row r="22" spans="1:17" x14ac:dyDescent="0.2">
      <c r="A22">
        <v>4</v>
      </c>
      <c r="B22" s="4">
        <v>45173</v>
      </c>
      <c r="C22" s="17">
        <v>1</v>
      </c>
      <c r="D22" s="2">
        <v>22</v>
      </c>
      <c r="E22" s="2" t="s">
        <v>35</v>
      </c>
      <c r="F22" s="2">
        <v>2</v>
      </c>
      <c r="G22">
        <v>10</v>
      </c>
      <c r="H22" s="6">
        <v>0.40969188977576748</v>
      </c>
      <c r="I22" s="6">
        <v>0.56578553697432232</v>
      </c>
      <c r="K22" s="6">
        <f t="shared" si="0"/>
        <v>0.72411163418332658</v>
      </c>
      <c r="L22" s="6">
        <f t="shared" si="1"/>
        <v>1.3810025316439336</v>
      </c>
      <c r="M22" s="6">
        <v>2.861198738170347</v>
      </c>
      <c r="N22" s="6">
        <v>0.34950385887541341</v>
      </c>
      <c r="Q22" s="12">
        <v>3.0099999999999998E-2</v>
      </c>
    </row>
    <row r="23" spans="1:17" x14ac:dyDescent="0.2">
      <c r="A23">
        <v>4</v>
      </c>
      <c r="B23" s="4">
        <v>45173</v>
      </c>
      <c r="C23" s="17">
        <v>1</v>
      </c>
      <c r="D23" s="2">
        <v>15</v>
      </c>
      <c r="E23" s="2" t="s">
        <v>36</v>
      </c>
      <c r="F23" s="2">
        <v>2</v>
      </c>
      <c r="G23">
        <v>20</v>
      </c>
      <c r="H23" s="6">
        <v>0.54441039407140268</v>
      </c>
      <c r="I23" s="6">
        <v>1.1004105861401845</v>
      </c>
      <c r="K23" s="6">
        <f t="shared" si="0"/>
        <v>0.49473387563544274</v>
      </c>
      <c r="L23" s="6">
        <f t="shared" si="1"/>
        <v>2.0212887155050518</v>
      </c>
      <c r="M23" s="6">
        <v>3.4448160535117061</v>
      </c>
      <c r="N23" s="6">
        <v>0.29029126213592232</v>
      </c>
      <c r="Q23" s="12">
        <v>3.3500000000000002E-2</v>
      </c>
    </row>
    <row r="24" spans="1:17" x14ac:dyDescent="0.2">
      <c r="A24">
        <v>4</v>
      </c>
      <c r="B24" s="4">
        <v>45173</v>
      </c>
      <c r="C24" s="17">
        <v>1</v>
      </c>
      <c r="D24" s="2">
        <v>14</v>
      </c>
      <c r="E24" s="2" t="s">
        <v>37</v>
      </c>
      <c r="F24" s="2">
        <v>2</v>
      </c>
      <c r="G24">
        <v>30</v>
      </c>
      <c r="H24" s="6">
        <v>1.1774028183645928</v>
      </c>
      <c r="I24" s="6">
        <v>1.5933681703830023</v>
      </c>
      <c r="K24" s="6">
        <f t="shared" si="0"/>
        <v>0.73893958737833787</v>
      </c>
      <c r="L24" s="6">
        <f t="shared" si="1"/>
        <v>1.3532906032925787</v>
      </c>
      <c r="M24" s="6">
        <v>3.3617021276595747</v>
      </c>
      <c r="N24" s="6">
        <v>0.29746835443037972</v>
      </c>
      <c r="P24">
        <v>30</v>
      </c>
      <c r="Q24" s="13">
        <v>4.2999999999999997E-2</v>
      </c>
    </row>
    <row r="25" spans="1:17" x14ac:dyDescent="0.2">
      <c r="A25">
        <v>4</v>
      </c>
      <c r="B25" s="4">
        <v>45173</v>
      </c>
      <c r="C25" s="17">
        <v>1</v>
      </c>
      <c r="D25" s="2">
        <v>8</v>
      </c>
      <c r="E25" s="2" t="s">
        <v>38</v>
      </c>
      <c r="F25" s="2">
        <v>2</v>
      </c>
      <c r="G25">
        <v>40</v>
      </c>
      <c r="H25" s="6">
        <v>0.67451525095965315</v>
      </c>
      <c r="I25" s="6">
        <v>0.87690895435032978</v>
      </c>
      <c r="K25" s="6">
        <f t="shared" si="0"/>
        <v>0.76919644578082469</v>
      </c>
      <c r="L25" s="6">
        <f t="shared" si="1"/>
        <v>1.3000580092188057</v>
      </c>
      <c r="M25" s="6">
        <v>3.3895131086142323</v>
      </c>
      <c r="N25" s="6">
        <v>0.29502762430939228</v>
      </c>
      <c r="Q25" s="12">
        <v>3.6700000000000003E-2</v>
      </c>
    </row>
    <row r="26" spans="1:17" x14ac:dyDescent="0.2">
      <c r="A26">
        <v>4</v>
      </c>
      <c r="B26" s="4">
        <v>45173</v>
      </c>
      <c r="C26" s="17">
        <v>1</v>
      </c>
      <c r="D26" s="2">
        <v>7</v>
      </c>
      <c r="E26" s="2" t="s">
        <v>39</v>
      </c>
      <c r="F26" s="2">
        <v>2</v>
      </c>
      <c r="G26">
        <v>50</v>
      </c>
      <c r="H26" s="6">
        <v>0.1695976786954641</v>
      </c>
      <c r="I26" s="6">
        <v>0.18946103370403702</v>
      </c>
      <c r="K26" s="6">
        <f t="shared" si="0"/>
        <v>0.89515862644557254</v>
      </c>
      <c r="L26" s="6">
        <f t="shared" si="1"/>
        <v>1.1171204415140628</v>
      </c>
      <c r="M26" s="6">
        <v>3.5533333333333332</v>
      </c>
      <c r="N26" s="6">
        <v>0.28142589118198874</v>
      </c>
      <c r="Q26" s="12">
        <v>2.4E-2</v>
      </c>
    </row>
    <row r="27" spans="1:17" x14ac:dyDescent="0.2">
      <c r="A27">
        <v>5</v>
      </c>
      <c r="B27" s="4">
        <v>45173</v>
      </c>
      <c r="C27" s="17">
        <v>1</v>
      </c>
      <c r="D27" s="2">
        <v>24</v>
      </c>
      <c r="E27" s="2" t="s">
        <v>40</v>
      </c>
      <c r="F27" s="2">
        <v>2</v>
      </c>
      <c r="G27">
        <v>3</v>
      </c>
      <c r="H27" s="6">
        <v>0.34971447347976542</v>
      </c>
      <c r="I27" s="6">
        <v>0.35595004799902286</v>
      </c>
      <c r="K27" s="6">
        <f t="shared" si="0"/>
        <v>0.98248188319032181</v>
      </c>
      <c r="L27" s="6">
        <f t="shared" si="1"/>
        <v>1.0178304731205763</v>
      </c>
      <c r="M27" s="6">
        <v>3.7867647058823533</v>
      </c>
      <c r="N27" s="6">
        <v>0.26407766990291259</v>
      </c>
      <c r="Q27" s="12">
        <v>2.5899999999999999E-2</v>
      </c>
    </row>
    <row r="28" spans="1:17" x14ac:dyDescent="0.2">
      <c r="A28">
        <v>5</v>
      </c>
      <c r="B28" s="4">
        <v>45173</v>
      </c>
      <c r="C28" s="17">
        <v>1</v>
      </c>
      <c r="D28" s="2">
        <v>22</v>
      </c>
      <c r="E28" s="2" t="s">
        <v>41</v>
      </c>
      <c r="F28" s="2">
        <v>2</v>
      </c>
      <c r="G28">
        <v>10</v>
      </c>
      <c r="H28" s="6">
        <v>0.45490563436813819</v>
      </c>
      <c r="I28" s="6">
        <v>0.40642017861332402</v>
      </c>
      <c r="K28" s="6">
        <f t="shared" si="0"/>
        <v>1.1192988397383294</v>
      </c>
      <c r="L28" s="6">
        <f t="shared" si="1"/>
        <v>0.89341645367360589</v>
      </c>
      <c r="M28" s="6">
        <v>3.9698795180722892</v>
      </c>
      <c r="N28" s="6">
        <v>0.25189681335356601</v>
      </c>
      <c r="Q28" s="12">
        <v>2.5000000000000001E-2</v>
      </c>
    </row>
    <row r="29" spans="1:17" x14ac:dyDescent="0.2">
      <c r="A29">
        <v>5</v>
      </c>
      <c r="B29" s="4">
        <v>45173</v>
      </c>
      <c r="C29" s="17">
        <v>1</v>
      </c>
      <c r="D29" s="2">
        <v>21</v>
      </c>
      <c r="E29" s="2" t="s">
        <v>42</v>
      </c>
      <c r="F29" s="2">
        <v>2</v>
      </c>
      <c r="G29">
        <v>20</v>
      </c>
      <c r="H29" s="6">
        <v>0.60807872829331255</v>
      </c>
      <c r="I29" s="6">
        <v>0.82400515353128745</v>
      </c>
      <c r="K29" s="6">
        <f t="shared" si="0"/>
        <v>0.73795500633385758</v>
      </c>
      <c r="L29" s="6">
        <f t="shared" si="1"/>
        <v>1.3550961663204584</v>
      </c>
      <c r="M29" s="6">
        <v>3.3876811594202896</v>
      </c>
      <c r="N29" s="6">
        <v>0.29518716577540111</v>
      </c>
      <c r="Q29" s="12">
        <v>2.7799999999999998E-2</v>
      </c>
    </row>
    <row r="30" spans="1:17" x14ac:dyDescent="0.2">
      <c r="A30">
        <v>5</v>
      </c>
      <c r="B30" s="4">
        <v>45173</v>
      </c>
      <c r="C30" s="17">
        <v>1</v>
      </c>
      <c r="D30" s="2">
        <v>20</v>
      </c>
      <c r="E30" s="2" t="s">
        <v>43</v>
      </c>
      <c r="F30" s="2">
        <v>2</v>
      </c>
      <c r="G30">
        <v>30</v>
      </c>
      <c r="H30" s="6">
        <v>1.337957748141583</v>
      </c>
      <c r="I30" s="6">
        <v>1.9309293734145687</v>
      </c>
      <c r="K30" s="6">
        <f t="shared" si="0"/>
        <v>0.69290869286202772</v>
      </c>
      <c r="L30" s="6">
        <f t="shared" si="1"/>
        <v>1.4431915926318455</v>
      </c>
      <c r="M30" s="6">
        <v>3.3015873015873014</v>
      </c>
      <c r="N30" s="6">
        <v>0.30288461538461536</v>
      </c>
      <c r="P30">
        <v>30</v>
      </c>
      <c r="Q30" s="13">
        <v>4.0399999999999998E-2</v>
      </c>
    </row>
    <row r="31" spans="1:17" x14ac:dyDescent="0.2">
      <c r="A31">
        <v>5</v>
      </c>
      <c r="B31" s="4">
        <v>45173</v>
      </c>
      <c r="C31" s="17">
        <v>1</v>
      </c>
      <c r="D31" s="2">
        <v>14</v>
      </c>
      <c r="E31" s="2" t="s">
        <v>44</v>
      </c>
      <c r="F31" s="2">
        <v>2</v>
      </c>
      <c r="G31">
        <v>40</v>
      </c>
      <c r="H31" s="6">
        <v>0.70250471189778729</v>
      </c>
      <c r="I31" s="6">
        <v>0.88869960124065683</v>
      </c>
      <c r="K31" s="6">
        <f t="shared" si="0"/>
        <v>0.79048613380389199</v>
      </c>
      <c r="L31" s="6">
        <f t="shared" si="1"/>
        <v>1.2650443280869559</v>
      </c>
      <c r="M31" s="6">
        <v>3.4826086956521736</v>
      </c>
      <c r="N31" s="6">
        <v>0.28714107365792763</v>
      </c>
      <c r="Q31" s="12">
        <v>3.27E-2</v>
      </c>
    </row>
    <row r="32" spans="1:17" x14ac:dyDescent="0.2">
      <c r="A32">
        <v>5</v>
      </c>
      <c r="B32" s="4">
        <v>45173</v>
      </c>
      <c r="C32" s="17">
        <v>1</v>
      </c>
      <c r="D32" s="2">
        <v>13</v>
      </c>
      <c r="E32" s="2" t="s">
        <v>45</v>
      </c>
      <c r="F32" s="2">
        <v>2</v>
      </c>
      <c r="G32">
        <v>55</v>
      </c>
      <c r="H32" s="6">
        <v>4.1984191407201402E-2</v>
      </c>
      <c r="I32" s="6">
        <v>0.10641290649201436</v>
      </c>
      <c r="K32" s="6">
        <f t="shared" si="0"/>
        <v>0.39454040671609752</v>
      </c>
      <c r="L32" s="6">
        <f t="shared" si="1"/>
        <v>2.5345946396805377</v>
      </c>
      <c r="M32" s="6">
        <v>2.5909090909090913</v>
      </c>
      <c r="N32" s="6">
        <v>0.38596491228070173</v>
      </c>
      <c r="Q32" s="12">
        <v>2.3199999999999998E-2</v>
      </c>
    </row>
    <row r="33" spans="1:17" x14ac:dyDescent="0.2">
      <c r="A33">
        <v>6</v>
      </c>
      <c r="B33" s="4">
        <v>45173</v>
      </c>
      <c r="C33" s="17">
        <v>1</v>
      </c>
      <c r="D33" s="2">
        <v>24</v>
      </c>
      <c r="E33" s="2" t="s">
        <v>46</v>
      </c>
      <c r="F33" s="2">
        <v>2</v>
      </c>
      <c r="G33">
        <v>2</v>
      </c>
      <c r="H33" s="6">
        <v>0.36909179259078151</v>
      </c>
      <c r="I33" s="6">
        <v>0.31581789002098348</v>
      </c>
      <c r="K33" s="6">
        <f t="shared" si="0"/>
        <v>1.1686855122939945</v>
      </c>
      <c r="L33" s="6">
        <f t="shared" si="1"/>
        <v>0.85566218583228226</v>
      </c>
      <c r="M33" s="6">
        <v>4.0303030303030312</v>
      </c>
      <c r="N33" s="6">
        <v>0.24812030075187969</v>
      </c>
      <c r="Q33" s="12">
        <v>1.8608</v>
      </c>
    </row>
    <row r="34" spans="1:17" x14ac:dyDescent="0.2">
      <c r="A34">
        <v>6</v>
      </c>
      <c r="B34" s="4">
        <v>45173</v>
      </c>
      <c r="C34" s="17">
        <v>1</v>
      </c>
      <c r="D34" s="2">
        <v>22</v>
      </c>
      <c r="E34" s="2" t="s">
        <v>47</v>
      </c>
      <c r="F34" s="2">
        <v>2</v>
      </c>
      <c r="G34">
        <v>10</v>
      </c>
      <c r="H34" s="6">
        <v>0.57486046696014215</v>
      </c>
      <c r="I34" s="6">
        <v>0.44731534724074978</v>
      </c>
      <c r="K34" s="6">
        <f t="shared" si="0"/>
        <v>1.2851346829616965</v>
      </c>
      <c r="L34" s="6">
        <f t="shared" si="1"/>
        <v>0.77812855979843243</v>
      </c>
      <c r="M34" s="6">
        <v>4.1624365482233507</v>
      </c>
      <c r="N34" s="6">
        <v>0.24024390243902438</v>
      </c>
      <c r="Q34" s="12">
        <v>1.8653999999999999</v>
      </c>
    </row>
    <row r="35" spans="1:17" x14ac:dyDescent="0.2">
      <c r="A35">
        <v>6</v>
      </c>
      <c r="B35" s="4">
        <v>45173</v>
      </c>
      <c r="C35" s="17">
        <v>1</v>
      </c>
      <c r="D35" s="2">
        <v>21</v>
      </c>
      <c r="E35" s="2" t="s">
        <v>48</v>
      </c>
      <c r="F35" s="2">
        <v>2</v>
      </c>
      <c r="G35">
        <v>20</v>
      </c>
      <c r="H35" s="6">
        <v>0.57486046696014215</v>
      </c>
      <c r="I35" s="6">
        <v>1.0803379326849567</v>
      </c>
      <c r="K35" s="6">
        <f t="shared" si="0"/>
        <v>0.53211171205610197</v>
      </c>
      <c r="L35" s="6">
        <f t="shared" si="1"/>
        <v>1.8793046222116745</v>
      </c>
      <c r="M35" s="6">
        <v>2.9529780564263324</v>
      </c>
      <c r="N35" s="6">
        <v>0.33864118895966028</v>
      </c>
      <c r="Q35" s="12">
        <v>1.8852</v>
      </c>
    </row>
    <row r="36" spans="1:17" x14ac:dyDescent="0.2">
      <c r="A36">
        <v>6</v>
      </c>
      <c r="B36" s="4">
        <v>45173</v>
      </c>
      <c r="C36" s="17">
        <v>1</v>
      </c>
      <c r="D36" s="2">
        <v>20</v>
      </c>
      <c r="E36" s="2" t="s">
        <v>49</v>
      </c>
      <c r="F36" s="2">
        <v>2</v>
      </c>
      <c r="G36">
        <v>30</v>
      </c>
      <c r="H36" s="6">
        <v>1.2447620705124105</v>
      </c>
      <c r="I36" s="6">
        <v>2.2887492465982864</v>
      </c>
      <c r="K36" s="6">
        <f t="shared" si="0"/>
        <v>0.54386126936468504</v>
      </c>
      <c r="L36" s="6">
        <f t="shared" si="1"/>
        <v>1.8387041996356099</v>
      </c>
      <c r="M36" s="6">
        <v>2.9809104258443466</v>
      </c>
      <c r="N36" s="6">
        <v>0.33546798029556646</v>
      </c>
      <c r="P36">
        <v>30</v>
      </c>
      <c r="Q36" s="12">
        <v>1.8935999999999999</v>
      </c>
    </row>
    <row r="37" spans="1:17" x14ac:dyDescent="0.2">
      <c r="A37">
        <v>6</v>
      </c>
      <c r="B37" s="4">
        <v>45173</v>
      </c>
      <c r="C37" s="17">
        <v>1</v>
      </c>
      <c r="D37" s="2">
        <v>18</v>
      </c>
      <c r="E37" s="2" t="s">
        <v>50</v>
      </c>
      <c r="F37" s="2">
        <v>2</v>
      </c>
      <c r="G37">
        <v>40</v>
      </c>
      <c r="H37" s="6">
        <v>0.81661559110710402</v>
      </c>
      <c r="I37" s="6">
        <v>1.0772634555087617</v>
      </c>
      <c r="K37" s="6">
        <f t="shared" si="0"/>
        <v>0.7580463134911033</v>
      </c>
      <c r="L37" s="6">
        <f t="shared" si="1"/>
        <v>1.3191806123224901</v>
      </c>
      <c r="M37" s="6">
        <v>3.4246575342465753</v>
      </c>
      <c r="N37" s="6">
        <v>0.29199999999999998</v>
      </c>
      <c r="Q37" s="13">
        <v>1.907</v>
      </c>
    </row>
    <row r="38" spans="1:17" x14ac:dyDescent="0.2">
      <c r="A38">
        <v>6</v>
      </c>
      <c r="B38" s="4">
        <v>45173</v>
      </c>
      <c r="C38" s="17">
        <v>1</v>
      </c>
      <c r="D38" s="2">
        <v>17</v>
      </c>
      <c r="E38" s="2" t="s">
        <v>51</v>
      </c>
      <c r="F38" s="2">
        <v>2</v>
      </c>
      <c r="G38">
        <v>55</v>
      </c>
      <c r="H38" s="6">
        <v>0.12927440035492122</v>
      </c>
      <c r="I38" s="6">
        <v>0.1452083436614604</v>
      </c>
      <c r="K38" s="6">
        <f t="shared" si="0"/>
        <v>0.89026840397210449</v>
      </c>
      <c r="L38" s="6">
        <f t="shared" si="1"/>
        <v>1.123256756657101</v>
      </c>
      <c r="M38" s="6">
        <v>3.6483931947069945</v>
      </c>
      <c r="N38" s="6">
        <v>0.27409326424870467</v>
      </c>
      <c r="Q38" s="12">
        <v>1.8828</v>
      </c>
    </row>
    <row r="39" spans="1:17" x14ac:dyDescent="0.2">
      <c r="A39">
        <v>7</v>
      </c>
      <c r="B39" s="4">
        <v>45174</v>
      </c>
      <c r="C39" s="17">
        <v>1</v>
      </c>
      <c r="D39" s="2">
        <v>24</v>
      </c>
      <c r="E39" s="2" t="s">
        <v>52</v>
      </c>
      <c r="F39" s="2">
        <v>2</v>
      </c>
      <c r="G39">
        <v>2</v>
      </c>
      <c r="H39" s="6">
        <v>5.0381029688641672E-2</v>
      </c>
      <c r="I39" s="6">
        <v>0.36160252182176861</v>
      </c>
      <c r="K39" s="6">
        <f t="shared" ref="K39:K44" si="2">H39/I39</f>
        <v>0.13932709715302852</v>
      </c>
      <c r="L39" s="6">
        <f t="shared" si="1"/>
        <v>7.1773547316618531</v>
      </c>
      <c r="M39" s="6">
        <v>1.6876574307304786</v>
      </c>
      <c r="N39" s="6">
        <v>0.59253731343283589</v>
      </c>
      <c r="Q39" s="12">
        <v>2.6700000000000002E-2</v>
      </c>
    </row>
    <row r="40" spans="1:17" x14ac:dyDescent="0.2">
      <c r="A40">
        <v>7</v>
      </c>
      <c r="B40" s="4">
        <v>45174</v>
      </c>
      <c r="C40" s="17">
        <v>1</v>
      </c>
      <c r="D40" s="2">
        <v>22</v>
      </c>
      <c r="E40" s="2" t="s">
        <v>53</v>
      </c>
      <c r="F40" s="2">
        <v>2</v>
      </c>
      <c r="G40">
        <v>10</v>
      </c>
      <c r="H40" s="6">
        <v>7.0127440592248499E-2</v>
      </c>
      <c r="I40" s="6">
        <v>0.50063062825088911</v>
      </c>
      <c r="K40" s="6">
        <f t="shared" si="2"/>
        <v>0.1400782066356204</v>
      </c>
      <c r="L40" s="6">
        <f t="shared" si="1"/>
        <v>7.1388692361065011</v>
      </c>
      <c r="M40" s="6">
        <v>1.6909090909090911</v>
      </c>
      <c r="N40" s="6">
        <v>0.59139784946236551</v>
      </c>
      <c r="Q40" s="12">
        <v>2.69E-2</v>
      </c>
    </row>
    <row r="41" spans="1:17" x14ac:dyDescent="0.2">
      <c r="A41">
        <v>7</v>
      </c>
      <c r="B41" s="4">
        <v>45174</v>
      </c>
      <c r="C41" s="17">
        <v>1</v>
      </c>
      <c r="D41" s="2">
        <v>21</v>
      </c>
      <c r="E41" s="2" t="s">
        <v>54</v>
      </c>
      <c r="F41" s="2">
        <v>2</v>
      </c>
      <c r="G41">
        <v>20</v>
      </c>
      <c r="H41" s="6">
        <v>8.212292385144887E-2</v>
      </c>
      <c r="I41" s="6">
        <v>0.79995772799703657</v>
      </c>
      <c r="K41" s="6">
        <f t="shared" si="2"/>
        <v>0.10265907932044266</v>
      </c>
      <c r="L41" s="6">
        <f t="shared" si="1"/>
        <v>9.7409796251783494</v>
      </c>
      <c r="M41" s="6">
        <v>1.5235294117647058</v>
      </c>
      <c r="N41" s="6">
        <v>0.65637065637065639</v>
      </c>
      <c r="Q41" s="12">
        <v>2.93E-2</v>
      </c>
    </row>
    <row r="42" spans="1:17" x14ac:dyDescent="0.2">
      <c r="A42">
        <v>7</v>
      </c>
      <c r="B42" s="4">
        <v>45174</v>
      </c>
      <c r="C42" s="17">
        <v>1</v>
      </c>
      <c r="D42" s="2">
        <v>20</v>
      </c>
      <c r="E42" s="2" t="s">
        <v>55</v>
      </c>
      <c r="F42" s="2">
        <v>2</v>
      </c>
      <c r="G42">
        <v>30</v>
      </c>
      <c r="H42" s="6">
        <v>0.13748669274006609</v>
      </c>
      <c r="I42" s="6">
        <v>1.2842197696510218</v>
      </c>
      <c r="K42" s="6">
        <f t="shared" si="2"/>
        <v>0.10705853934753487</v>
      </c>
      <c r="L42" s="6">
        <f t="shared" si="1"/>
        <v>9.3406841350019416</v>
      </c>
      <c r="M42" s="6">
        <v>1.5437956204379562</v>
      </c>
      <c r="N42" s="6">
        <v>0.64775413711583929</v>
      </c>
      <c r="P42">
        <v>30</v>
      </c>
      <c r="Q42" s="13">
        <v>4.2700000000000002E-2</v>
      </c>
    </row>
    <row r="43" spans="1:17" x14ac:dyDescent="0.2">
      <c r="A43">
        <v>7</v>
      </c>
      <c r="B43" s="4">
        <v>45174</v>
      </c>
      <c r="C43" s="17">
        <v>1</v>
      </c>
      <c r="D43" s="2">
        <v>18</v>
      </c>
      <c r="E43" s="2" t="s">
        <v>56</v>
      </c>
      <c r="F43" s="2">
        <v>2</v>
      </c>
      <c r="G43">
        <v>41</v>
      </c>
      <c r="H43" s="6">
        <v>5.5640587733060305E-2</v>
      </c>
      <c r="I43" s="6">
        <v>0.36827699612588827</v>
      </c>
      <c r="K43" s="6">
        <f t="shared" si="2"/>
        <v>0.15108352766633479</v>
      </c>
      <c r="L43" s="6">
        <f t="shared" si="1"/>
        <v>6.6188552481279217</v>
      </c>
      <c r="M43" s="6">
        <v>1.7380660954712361</v>
      </c>
      <c r="N43" s="6">
        <v>0.57535211267605635</v>
      </c>
      <c r="Q43" s="12">
        <v>2.7099999999999999E-2</v>
      </c>
    </row>
    <row r="44" spans="1:17" x14ac:dyDescent="0.2">
      <c r="A44">
        <v>7</v>
      </c>
      <c r="B44" s="4">
        <v>45174</v>
      </c>
      <c r="C44" s="17">
        <v>1</v>
      </c>
      <c r="D44" s="2">
        <v>16</v>
      </c>
      <c r="E44" s="2" t="s">
        <v>57</v>
      </c>
      <c r="F44" s="2">
        <v>2</v>
      </c>
      <c r="G44">
        <v>56</v>
      </c>
      <c r="H44" s="6">
        <v>1.1534118518461922E-2</v>
      </c>
      <c r="I44" s="6">
        <v>0.11714588245708181</v>
      </c>
      <c r="K44" s="6">
        <f t="shared" si="2"/>
        <v>9.8459444553568698E-2</v>
      </c>
      <c r="L44" s="6">
        <f t="shared" si="1"/>
        <v>10.15646598997348</v>
      </c>
      <c r="M44" s="6">
        <v>1.5040322580645162</v>
      </c>
      <c r="N44" s="6">
        <v>0.66487935656836461</v>
      </c>
      <c r="Q44" s="12">
        <v>2.3E-2</v>
      </c>
    </row>
    <row r="45" spans="1:17" x14ac:dyDescent="0.2">
      <c r="A45">
        <v>8</v>
      </c>
      <c r="B45" s="4">
        <v>45174</v>
      </c>
      <c r="C45" s="17">
        <v>1</v>
      </c>
      <c r="D45" s="2">
        <v>24</v>
      </c>
      <c r="E45" s="2" t="s">
        <v>58</v>
      </c>
      <c r="F45" s="2">
        <v>2</v>
      </c>
      <c r="G45">
        <v>3</v>
      </c>
      <c r="H45" s="6">
        <v>0.57393773747866528</v>
      </c>
      <c r="I45" s="6">
        <v>0.54163485162383096</v>
      </c>
      <c r="K45" s="6">
        <f t="shared" si="0"/>
        <v>1.0596395999223271</v>
      </c>
      <c r="L45" s="6">
        <f t="shared" si="1"/>
        <v>0.94371709029494666</v>
      </c>
      <c r="M45" s="6">
        <v>3.8930232558139535</v>
      </c>
      <c r="N45" s="6">
        <v>0.25686977299880526</v>
      </c>
      <c r="Q45" s="12">
        <v>2.69E-2</v>
      </c>
    </row>
    <row r="46" spans="1:17" x14ac:dyDescent="0.2">
      <c r="A46">
        <v>8</v>
      </c>
      <c r="B46" s="4">
        <v>45174</v>
      </c>
      <c r="C46" s="17">
        <v>1</v>
      </c>
      <c r="D46" s="2">
        <v>22</v>
      </c>
      <c r="E46" s="2" t="s">
        <v>59</v>
      </c>
      <c r="F46" s="2">
        <v>2</v>
      </c>
      <c r="G46">
        <v>10</v>
      </c>
      <c r="H46" s="6">
        <v>0.62745604740432848</v>
      </c>
      <c r="I46" s="6">
        <v>0.7683068664029804</v>
      </c>
      <c r="K46" s="6">
        <f t="shared" si="0"/>
        <v>0.81667374696508954</v>
      </c>
      <c r="L46" s="6">
        <f t="shared" si="1"/>
        <v>1.2244791799861139</v>
      </c>
      <c r="M46" s="6">
        <v>3.5278810408921939</v>
      </c>
      <c r="N46" s="6">
        <v>0.2834562697576396</v>
      </c>
      <c r="Q46" s="12">
        <v>2.8799999999999999E-2</v>
      </c>
    </row>
    <row r="47" spans="1:17" x14ac:dyDescent="0.2">
      <c r="A47">
        <v>8</v>
      </c>
      <c r="B47" s="4">
        <v>45174</v>
      </c>
      <c r="C47" s="17">
        <v>1</v>
      </c>
      <c r="D47" s="2">
        <v>21</v>
      </c>
      <c r="E47" s="2" t="s">
        <v>60</v>
      </c>
      <c r="F47" s="2">
        <v>2</v>
      </c>
      <c r="G47">
        <v>20</v>
      </c>
      <c r="H47" s="6">
        <v>1.233689316734687</v>
      </c>
      <c r="I47" s="6">
        <v>2.4139736141446373</v>
      </c>
      <c r="K47" s="6">
        <f t="shared" si="0"/>
        <v>0.51106164106596086</v>
      </c>
      <c r="L47" s="6">
        <f t="shared" si="1"/>
        <v>1.956711127671845</v>
      </c>
      <c r="M47" s="6">
        <v>2.9018492176386914</v>
      </c>
      <c r="N47" s="6">
        <v>0.3446078431372549</v>
      </c>
      <c r="Q47" s="13">
        <v>4.0800000000000003E-2</v>
      </c>
    </row>
    <row r="48" spans="1:17" x14ac:dyDescent="0.2">
      <c r="A48">
        <v>8</v>
      </c>
      <c r="B48" s="4">
        <v>45174</v>
      </c>
      <c r="C48" s="17">
        <v>1</v>
      </c>
      <c r="D48" s="2">
        <v>20</v>
      </c>
      <c r="E48" s="2" t="s">
        <v>61</v>
      </c>
      <c r="F48" s="2">
        <v>2</v>
      </c>
      <c r="G48">
        <v>30</v>
      </c>
      <c r="H48" s="6">
        <v>1.4606807691780179</v>
      </c>
      <c r="I48" s="6">
        <v>2.8822692637465837</v>
      </c>
      <c r="K48" s="6">
        <f t="shared" si="0"/>
        <v>0.50678150981609493</v>
      </c>
      <c r="L48" s="6">
        <f t="shared" si="1"/>
        <v>1.9732369485281505</v>
      </c>
      <c r="M48" s="6">
        <v>2.8912783751493429</v>
      </c>
      <c r="N48" s="6">
        <v>0.34586776859504131</v>
      </c>
      <c r="P48">
        <v>30</v>
      </c>
      <c r="Q48" s="12">
        <v>3.9300000000000002E-2</v>
      </c>
    </row>
    <row r="49" spans="1:17" x14ac:dyDescent="0.2">
      <c r="A49">
        <v>8</v>
      </c>
      <c r="B49" s="4">
        <v>45174</v>
      </c>
      <c r="C49" s="17">
        <v>1</v>
      </c>
      <c r="D49" s="2">
        <v>18</v>
      </c>
      <c r="E49" s="2" t="s">
        <v>62</v>
      </c>
      <c r="F49" s="2">
        <v>2</v>
      </c>
      <c r="G49">
        <v>40</v>
      </c>
      <c r="H49" s="6">
        <v>0.73356993777417823</v>
      </c>
      <c r="I49" s="6">
        <v>1.0565349145065717</v>
      </c>
      <c r="K49" s="6">
        <f t="shared" si="0"/>
        <v>0.69431679701448745</v>
      </c>
      <c r="L49" s="6">
        <f t="shared" si="1"/>
        <v>1.4402647383729277</v>
      </c>
      <c r="M49" s="6">
        <v>3.3043478260869565</v>
      </c>
      <c r="N49" s="6">
        <v>0.30263157894736842</v>
      </c>
      <c r="Q49" s="12">
        <v>3.1699999999999999E-2</v>
      </c>
    </row>
    <row r="50" spans="1:17" x14ac:dyDescent="0.2">
      <c r="A50">
        <v>8</v>
      </c>
      <c r="B50" s="4">
        <v>45174</v>
      </c>
      <c r="C50" s="17">
        <v>1</v>
      </c>
      <c r="D50" s="2">
        <v>17</v>
      </c>
      <c r="E50" s="2" t="s">
        <v>63</v>
      </c>
      <c r="F50" s="2">
        <v>2</v>
      </c>
      <c r="G50">
        <v>55</v>
      </c>
      <c r="H50" s="6">
        <v>0.24415422079880195</v>
      </c>
      <c r="I50" s="6">
        <v>0.20415029872889884</v>
      </c>
      <c r="K50" s="6">
        <f t="shared" si="0"/>
        <v>1.1959532869605363</v>
      </c>
      <c r="L50" s="6">
        <f t="shared" si="1"/>
        <v>0.83615305957430575</v>
      </c>
      <c r="M50" s="6">
        <v>4.0625</v>
      </c>
      <c r="N50" s="6">
        <v>0.24615384615384617</v>
      </c>
      <c r="Q50" s="12">
        <v>2.4400000000000002E-2</v>
      </c>
    </row>
    <row r="51" spans="1:17" x14ac:dyDescent="0.2">
      <c r="A51">
        <v>9</v>
      </c>
      <c r="B51" s="4">
        <v>45174</v>
      </c>
      <c r="C51" s="17">
        <v>3</v>
      </c>
      <c r="D51" s="2">
        <v>24</v>
      </c>
      <c r="E51" s="2" t="s">
        <v>65</v>
      </c>
      <c r="F51" s="2">
        <v>2</v>
      </c>
      <c r="G51">
        <v>3</v>
      </c>
      <c r="H51" s="6">
        <v>4.973511905160781E-2</v>
      </c>
      <c r="I51" s="6">
        <v>0.41776762642808946</v>
      </c>
      <c r="K51" s="6">
        <f t="shared" si="0"/>
        <v>0.11904972024003574</v>
      </c>
      <c r="L51" s="6">
        <f t="shared" si="1"/>
        <v>8.3998517424798269</v>
      </c>
      <c r="M51" s="6">
        <v>1.5982241953385128</v>
      </c>
      <c r="N51" s="6">
        <v>0.62569444444444444</v>
      </c>
      <c r="Q51" s="12">
        <v>2.3400000000000001E-2</v>
      </c>
    </row>
    <row r="52" spans="1:17" x14ac:dyDescent="0.2">
      <c r="A52">
        <v>9</v>
      </c>
      <c r="B52" s="4">
        <v>45174</v>
      </c>
      <c r="C52" s="17">
        <v>3</v>
      </c>
      <c r="D52" s="2">
        <v>22</v>
      </c>
      <c r="E52" s="2" t="s">
        <v>66</v>
      </c>
      <c r="F52" s="2">
        <v>2</v>
      </c>
      <c r="G52">
        <v>10</v>
      </c>
      <c r="H52" s="6">
        <v>7.7509276444064093E-2</v>
      </c>
      <c r="I52" s="6">
        <v>0.75268427823686335</v>
      </c>
      <c r="K52" s="6">
        <f t="shared" si="0"/>
        <v>0.10297714285414181</v>
      </c>
      <c r="L52" s="6">
        <f t="shared" si="1"/>
        <v>9.7108928475167868</v>
      </c>
      <c r="M52" s="6">
        <v>1.5249999999999999</v>
      </c>
      <c r="N52" s="6">
        <v>0.65573770491803285</v>
      </c>
      <c r="Q52" s="12">
        <v>2.3400000000000001E-2</v>
      </c>
    </row>
    <row r="53" spans="1:17" x14ac:dyDescent="0.2">
      <c r="A53">
        <v>9</v>
      </c>
      <c r="B53" s="4">
        <v>45174</v>
      </c>
      <c r="C53" s="17">
        <v>3</v>
      </c>
      <c r="D53" s="2">
        <v>20</v>
      </c>
      <c r="E53" s="2" t="s">
        <v>67</v>
      </c>
      <c r="F53" s="2">
        <v>2</v>
      </c>
      <c r="G53">
        <v>20</v>
      </c>
      <c r="H53" s="6">
        <v>0.21591869866560723</v>
      </c>
      <c r="I53" s="6">
        <v>1.9892829309556064</v>
      </c>
      <c r="K53" s="6">
        <f t="shared" si="0"/>
        <v>0.10854096986690817</v>
      </c>
      <c r="L53" s="6">
        <f t="shared" si="1"/>
        <v>9.2131109683853918</v>
      </c>
      <c r="M53" s="6">
        <v>1.5505882352941178</v>
      </c>
      <c r="N53" s="6">
        <v>0.64491654021244305</v>
      </c>
      <c r="P53">
        <v>20</v>
      </c>
      <c r="Q53" s="13">
        <v>5.11E-2</v>
      </c>
    </row>
    <row r="54" spans="1:17" x14ac:dyDescent="0.2">
      <c r="A54">
        <v>9</v>
      </c>
      <c r="B54" s="4">
        <v>45174</v>
      </c>
      <c r="C54" s="17">
        <v>3</v>
      </c>
      <c r="D54" s="2">
        <v>19</v>
      </c>
      <c r="E54" s="2" t="s">
        <v>68</v>
      </c>
      <c r="F54" s="2">
        <v>2</v>
      </c>
      <c r="G54">
        <v>30</v>
      </c>
      <c r="H54" s="6">
        <v>0.13287304533268132</v>
      </c>
      <c r="I54" s="6">
        <v>1.3459092239427204</v>
      </c>
      <c r="K54" s="6">
        <f t="shared" si="0"/>
        <v>9.8723630813259203E-2</v>
      </c>
      <c r="L54" s="6">
        <f t="shared" si="1"/>
        <v>10.129287099372908</v>
      </c>
      <c r="M54" s="6">
        <v>1.5052631578947369</v>
      </c>
      <c r="N54" s="6">
        <v>0.66433566433566438</v>
      </c>
      <c r="Q54" s="12">
        <v>3.6299999999999999E-2</v>
      </c>
    </row>
    <row r="55" spans="1:17" x14ac:dyDescent="0.2">
      <c r="A55">
        <v>9</v>
      </c>
      <c r="B55" s="4">
        <v>45174</v>
      </c>
      <c r="C55" s="17">
        <v>3</v>
      </c>
      <c r="D55" s="2">
        <v>17</v>
      </c>
      <c r="E55" s="2" t="s">
        <v>69</v>
      </c>
      <c r="F55" s="2">
        <v>2</v>
      </c>
      <c r="G55">
        <v>40</v>
      </c>
      <c r="H55" s="6">
        <v>8.5813841777356695E-2</v>
      </c>
      <c r="I55" s="6">
        <v>0.90004100440624457</v>
      </c>
      <c r="K55" s="6">
        <f t="shared" si="0"/>
        <v>9.534436915345644E-2</v>
      </c>
      <c r="L55" s="6">
        <f t="shared" si="1"/>
        <v>10.488296360643002</v>
      </c>
      <c r="M55" s="6">
        <v>1.4894736842105263</v>
      </c>
      <c r="N55" s="6">
        <v>0.67137809187279152</v>
      </c>
      <c r="Q55" s="12">
        <v>3.4500000000000003E-2</v>
      </c>
    </row>
    <row r="56" spans="1:17" x14ac:dyDescent="0.2">
      <c r="A56">
        <v>9</v>
      </c>
      <c r="B56" s="4">
        <v>45174</v>
      </c>
      <c r="C56" s="17">
        <v>3</v>
      </c>
      <c r="D56" s="2">
        <v>16</v>
      </c>
      <c r="E56" s="2" t="s">
        <v>70</v>
      </c>
      <c r="F56" s="2">
        <v>2</v>
      </c>
      <c r="G56">
        <v>55</v>
      </c>
      <c r="H56" s="6">
        <v>1.430230696289278E-2</v>
      </c>
      <c r="I56" s="6">
        <v>0.14550995231318575</v>
      </c>
      <c r="K56" s="6">
        <f t="shared" si="0"/>
        <v>9.8290919181318021E-2</v>
      </c>
      <c r="L56" s="6">
        <f t="shared" si="1"/>
        <v>10.173879828667511</v>
      </c>
      <c r="M56" s="6">
        <v>1.5032467532467533</v>
      </c>
      <c r="N56" s="6">
        <v>0.66522678185745143</v>
      </c>
      <c r="Q56" s="12">
        <v>2.3199999999999998E-2</v>
      </c>
    </row>
    <row r="57" spans="1:17" x14ac:dyDescent="0.2">
      <c r="A57">
        <v>10</v>
      </c>
      <c r="B57" s="4">
        <v>45174</v>
      </c>
      <c r="C57" s="17">
        <v>1</v>
      </c>
      <c r="D57" s="2">
        <v>22</v>
      </c>
      <c r="E57" s="2" t="s">
        <v>71</v>
      </c>
      <c r="F57" s="2">
        <v>2</v>
      </c>
      <c r="G57">
        <v>10</v>
      </c>
      <c r="H57" s="6">
        <v>0.8756702779216291</v>
      </c>
      <c r="I57" s="6">
        <v>1.1531152213298872</v>
      </c>
      <c r="K57" s="6">
        <f t="shared" si="0"/>
        <v>0.75939529868638711</v>
      </c>
      <c r="L57" s="6">
        <f t="shared" si="1"/>
        <v>1.3168372278967415</v>
      </c>
      <c r="M57" s="6">
        <v>3.4271099744245523</v>
      </c>
      <c r="N57" s="6">
        <v>0.29179104477611939</v>
      </c>
      <c r="Q57" s="12">
        <v>2.6700000000000002E-2</v>
      </c>
    </row>
    <row r="58" spans="1:17" x14ac:dyDescent="0.2">
      <c r="A58">
        <v>10</v>
      </c>
      <c r="B58" s="4">
        <v>45174</v>
      </c>
      <c r="C58" s="17">
        <v>1</v>
      </c>
      <c r="D58" s="2">
        <v>21</v>
      </c>
      <c r="E58" s="2" t="s">
        <v>72</v>
      </c>
      <c r="F58" s="2">
        <v>2</v>
      </c>
      <c r="G58">
        <v>20</v>
      </c>
      <c r="H58" s="6">
        <v>1.6885949511028253</v>
      </c>
      <c r="I58" s="6">
        <v>2.9812437939773915</v>
      </c>
      <c r="K58" s="6">
        <f t="shared" si="0"/>
        <v>0.56640619412409954</v>
      </c>
      <c r="L58" s="6">
        <f t="shared" si="1"/>
        <v>1.7655174155473663</v>
      </c>
      <c r="M58" s="6">
        <v>3.0333333333333332</v>
      </c>
      <c r="N58" s="6">
        <v>0.32967032967032966</v>
      </c>
      <c r="P58">
        <v>20</v>
      </c>
      <c r="Q58" s="13">
        <v>4.4600000000000001E-2</v>
      </c>
    </row>
    <row r="59" spans="1:17" x14ac:dyDescent="0.2">
      <c r="A59">
        <v>10</v>
      </c>
      <c r="B59" s="4">
        <v>45174</v>
      </c>
      <c r="C59" s="17">
        <v>1</v>
      </c>
      <c r="D59" s="2">
        <v>20</v>
      </c>
      <c r="E59" s="2" t="s">
        <v>73</v>
      </c>
      <c r="F59" s="2">
        <v>2</v>
      </c>
      <c r="G59">
        <v>30</v>
      </c>
      <c r="H59" s="6">
        <v>1.2595257422160417</v>
      </c>
      <c r="I59" s="6">
        <v>2.9692726769399318</v>
      </c>
      <c r="K59" s="6">
        <f t="shared" si="0"/>
        <v>0.42418662051411249</v>
      </c>
      <c r="L59" s="6">
        <f t="shared" si="1"/>
        <v>2.3574529502792991</v>
      </c>
      <c r="M59" s="6">
        <v>2.6748466257668713</v>
      </c>
      <c r="N59" s="6">
        <v>0.37385321100917429</v>
      </c>
      <c r="Q59" s="12">
        <v>4.2700000000000002E-2</v>
      </c>
    </row>
    <row r="60" spans="1:17" x14ac:dyDescent="0.2">
      <c r="A60">
        <v>10</v>
      </c>
      <c r="B60" s="4">
        <v>45174</v>
      </c>
      <c r="C60" s="17">
        <v>1</v>
      </c>
      <c r="D60" s="2">
        <v>18</v>
      </c>
      <c r="E60" s="2" t="s">
        <v>73</v>
      </c>
      <c r="F60" s="2">
        <v>2</v>
      </c>
      <c r="G60">
        <v>40</v>
      </c>
      <c r="H60" s="6">
        <v>1.0980480829575749</v>
      </c>
      <c r="I60" s="6">
        <v>2.2746132329336928</v>
      </c>
      <c r="K60" s="6">
        <f t="shared" si="0"/>
        <v>0.48274056752117039</v>
      </c>
      <c r="L60" s="6">
        <f t="shared" si="1"/>
        <v>2.0715060371555483</v>
      </c>
      <c r="M60" s="6">
        <v>2.8307692307692309</v>
      </c>
      <c r="N60" s="6">
        <v>0.35326086956521741</v>
      </c>
      <c r="Q60" s="12">
        <v>3.7100000000000001E-2</v>
      </c>
    </row>
    <row r="61" spans="1:17" x14ac:dyDescent="0.2">
      <c r="A61">
        <v>10</v>
      </c>
      <c r="B61" s="4">
        <v>45174</v>
      </c>
      <c r="C61" s="17">
        <v>1</v>
      </c>
      <c r="D61" s="2">
        <v>17</v>
      </c>
      <c r="E61" s="2" t="s">
        <v>74</v>
      </c>
      <c r="F61" s="2">
        <v>2</v>
      </c>
      <c r="G61">
        <v>55</v>
      </c>
      <c r="H61" s="6">
        <v>0.12622939306604727</v>
      </c>
      <c r="I61" s="6">
        <v>0.24320673876696541</v>
      </c>
      <c r="K61" s="6">
        <f t="shared" si="0"/>
        <v>0.51902095191119313</v>
      </c>
      <c r="L61" s="6">
        <f t="shared" si="1"/>
        <v>1.9267044929837525</v>
      </c>
      <c r="M61" s="6">
        <v>2.9213483146067416</v>
      </c>
      <c r="N61" s="6">
        <v>0.34230769230769231</v>
      </c>
      <c r="Q61" s="12">
        <v>2.2700000000000001E-2</v>
      </c>
    </row>
    <row r="62" spans="1:17" x14ac:dyDescent="0.2">
      <c r="A62">
        <v>11</v>
      </c>
      <c r="B62" s="4">
        <v>45175</v>
      </c>
      <c r="C62" s="17">
        <v>1</v>
      </c>
      <c r="D62" s="2">
        <v>24</v>
      </c>
      <c r="E62" s="2" t="s">
        <v>75</v>
      </c>
      <c r="F62" s="2">
        <v>2</v>
      </c>
      <c r="G62">
        <v>3</v>
      </c>
      <c r="H62" s="6">
        <v>0.72987901984827031</v>
      </c>
      <c r="I62" s="6">
        <v>0.51022260245636497</v>
      </c>
      <c r="K62" s="6">
        <f t="shared" si="0"/>
        <v>1.430510950190002</v>
      </c>
      <c r="L62" s="6">
        <f t="shared" si="1"/>
        <v>0.69905092293573767</v>
      </c>
      <c r="M62" s="6">
        <v>4.3096234309623433</v>
      </c>
      <c r="N62" s="6">
        <v>0.2320388349514563</v>
      </c>
      <c r="Q62" s="12">
        <v>2.7E-2</v>
      </c>
    </row>
    <row r="63" spans="1:17" x14ac:dyDescent="0.2">
      <c r="A63">
        <v>11</v>
      </c>
      <c r="B63" s="4">
        <v>45175</v>
      </c>
      <c r="C63" s="17">
        <v>1</v>
      </c>
      <c r="D63" s="2">
        <v>22</v>
      </c>
      <c r="E63" s="2" t="s">
        <v>76</v>
      </c>
      <c r="F63" s="2">
        <v>2</v>
      </c>
      <c r="G63">
        <v>10</v>
      </c>
      <c r="H63" s="6">
        <v>1.5972447324366068</v>
      </c>
      <c r="I63" s="6">
        <v>2.4447601369161593</v>
      </c>
      <c r="K63" s="6">
        <f t="shared" si="0"/>
        <v>0.65333392356903552</v>
      </c>
      <c r="L63" s="6">
        <f t="shared" si="1"/>
        <v>1.5306108621104435</v>
      </c>
      <c r="M63" s="6">
        <v>3.2220795892169445</v>
      </c>
      <c r="N63" s="6">
        <v>0.31035856573705184</v>
      </c>
      <c r="Q63" s="12">
        <v>2.6800000000000001E-2</v>
      </c>
    </row>
    <row r="64" spans="1:17" x14ac:dyDescent="0.2">
      <c r="A64">
        <v>11</v>
      </c>
      <c r="B64" s="4">
        <v>45175</v>
      </c>
      <c r="C64" s="17">
        <v>1</v>
      </c>
      <c r="D64" s="2">
        <v>21</v>
      </c>
      <c r="E64" s="2" t="s">
        <v>77</v>
      </c>
      <c r="F64" s="2">
        <v>2</v>
      </c>
      <c r="G64">
        <v>20</v>
      </c>
      <c r="H64" s="6">
        <v>1.734731425176673</v>
      </c>
      <c r="I64" s="6">
        <v>3.5058653887466811</v>
      </c>
      <c r="K64" s="6">
        <f t="shared" si="0"/>
        <v>0.49480833769171773</v>
      </c>
      <c r="L64" s="6">
        <f t="shared" si="1"/>
        <v>2.0209845385083907</v>
      </c>
      <c r="M64" s="6">
        <v>2.8613861386138613</v>
      </c>
      <c r="N64" s="6">
        <v>0.34948096885813151</v>
      </c>
      <c r="P64">
        <v>20</v>
      </c>
      <c r="Q64" s="13">
        <v>4.5400000000000003E-2</v>
      </c>
    </row>
    <row r="65" spans="1:17" x14ac:dyDescent="0.2">
      <c r="A65">
        <v>11</v>
      </c>
      <c r="B65" s="4">
        <v>45175</v>
      </c>
      <c r="C65" s="17">
        <v>1</v>
      </c>
      <c r="D65" s="2">
        <v>20</v>
      </c>
      <c r="E65" s="2" t="s">
        <v>78</v>
      </c>
      <c r="F65" s="2">
        <v>2</v>
      </c>
      <c r="G65">
        <v>30</v>
      </c>
      <c r="H65" s="6">
        <v>1.6424584770289776</v>
      </c>
      <c r="I65" s="6">
        <v>4.5321060859104199</v>
      </c>
      <c r="K65" s="6">
        <f t="shared" si="0"/>
        <v>0.36240512598218161</v>
      </c>
      <c r="L65" s="6">
        <f t="shared" si="1"/>
        <v>2.7593428688124213</v>
      </c>
      <c r="M65" s="6">
        <v>2.4957983193277311</v>
      </c>
      <c r="N65" s="6">
        <v>0.40067340067340068</v>
      </c>
      <c r="Q65" s="12">
        <v>4.4200000000000003E-2</v>
      </c>
    </row>
    <row r="66" spans="1:17" x14ac:dyDescent="0.2">
      <c r="A66">
        <v>11</v>
      </c>
      <c r="B66" s="4">
        <v>45175</v>
      </c>
      <c r="C66" s="17">
        <v>1</v>
      </c>
      <c r="D66" s="2">
        <v>18</v>
      </c>
      <c r="E66" s="2" t="s">
        <v>79</v>
      </c>
      <c r="F66" s="2">
        <v>2</v>
      </c>
      <c r="G66">
        <v>41</v>
      </c>
      <c r="H66" s="6">
        <v>1.0039296758469256</v>
      </c>
      <c r="I66" s="6">
        <v>2.0158993793049476</v>
      </c>
      <c r="K66" s="6">
        <f t="shared" si="0"/>
        <v>0.49800584600262426</v>
      </c>
      <c r="L66" s="6">
        <f t="shared" si="1"/>
        <v>2.0080085565797363</v>
      </c>
      <c r="M66" s="6">
        <v>2.8694158075601375</v>
      </c>
      <c r="N66" s="6">
        <v>0.34850299401197604</v>
      </c>
      <c r="Q66" s="12">
        <v>3.3700000000000001E-2</v>
      </c>
    </row>
    <row r="67" spans="1:17" x14ac:dyDescent="0.2">
      <c r="A67">
        <v>11</v>
      </c>
      <c r="B67" s="4">
        <v>45175</v>
      </c>
      <c r="C67" s="17">
        <v>1</v>
      </c>
      <c r="D67" s="2">
        <v>16</v>
      </c>
      <c r="E67" s="2" t="s">
        <v>80</v>
      </c>
      <c r="F67" s="2">
        <v>2</v>
      </c>
      <c r="G67">
        <v>56</v>
      </c>
      <c r="H67" s="6">
        <v>0.19377319111016031</v>
      </c>
      <c r="I67" s="6">
        <v>0.38736229716648884</v>
      </c>
      <c r="K67" s="6">
        <f t="shared" si="0"/>
        <v>0.50023761354057728</v>
      </c>
      <c r="L67" s="6">
        <f t="shared" ref="L67:L120" si="3">I67/H67</f>
        <v>1.9990499973046987</v>
      </c>
      <c r="M67" s="6">
        <v>2.8750000000000004</v>
      </c>
      <c r="N67" s="6">
        <v>0.34782608695652167</v>
      </c>
      <c r="Q67" s="12">
        <v>2.3199999999999998E-2</v>
      </c>
    </row>
    <row r="68" spans="1:17" x14ac:dyDescent="0.2">
      <c r="A68">
        <v>12</v>
      </c>
      <c r="B68" s="5">
        <v>45176</v>
      </c>
      <c r="C68" s="17">
        <v>1</v>
      </c>
      <c r="D68" s="2">
        <v>24</v>
      </c>
      <c r="E68" s="2" t="s">
        <v>81</v>
      </c>
      <c r="F68" s="2">
        <v>2</v>
      </c>
      <c r="G68">
        <v>4</v>
      </c>
      <c r="H68" s="6">
        <v>0.60346508088592776</v>
      </c>
      <c r="I68" s="6">
        <v>0.26823815152904606</v>
      </c>
      <c r="K68" s="6">
        <f t="shared" si="0"/>
        <v>2.2497362043616</v>
      </c>
      <c r="L68" s="6">
        <f t="shared" si="3"/>
        <v>0.44449655833483226</v>
      </c>
      <c r="M68" s="6">
        <v>4.8928571428571432</v>
      </c>
      <c r="N68" s="6">
        <v>0.20437956204379562</v>
      </c>
      <c r="Q68" s="12">
        <v>2.46E-2</v>
      </c>
    </row>
    <row r="69" spans="1:17" x14ac:dyDescent="0.2">
      <c r="A69">
        <v>12</v>
      </c>
      <c r="B69" s="5">
        <v>45176</v>
      </c>
      <c r="C69" s="17">
        <v>1</v>
      </c>
      <c r="D69" s="2">
        <v>23</v>
      </c>
      <c r="E69" s="2" t="s">
        <v>82</v>
      </c>
      <c r="F69" s="2">
        <v>2</v>
      </c>
      <c r="G69">
        <v>10</v>
      </c>
      <c r="H69" s="6">
        <v>0.62653331792285161</v>
      </c>
      <c r="I69" s="6">
        <v>0.25554733392563378</v>
      </c>
      <c r="K69" s="6">
        <f t="shared" ref="K69:K132" si="4">H69/I69</f>
        <v>2.4517309897084569</v>
      </c>
      <c r="L69" s="6">
        <f t="shared" si="3"/>
        <v>0.4078750907818452</v>
      </c>
      <c r="M69" s="6">
        <v>4.9941176470588236</v>
      </c>
      <c r="N69" s="6">
        <v>0.20023557126030622</v>
      </c>
      <c r="Q69" s="12">
        <v>2.47E-2</v>
      </c>
    </row>
    <row r="70" spans="1:17" x14ac:dyDescent="0.2">
      <c r="A70">
        <v>12</v>
      </c>
      <c r="B70" s="5">
        <v>45176</v>
      </c>
      <c r="C70" s="17">
        <v>1</v>
      </c>
      <c r="D70" s="2">
        <v>22</v>
      </c>
      <c r="E70" s="2" t="s">
        <v>83</v>
      </c>
      <c r="F70" s="2">
        <v>2</v>
      </c>
      <c r="G70">
        <v>21</v>
      </c>
      <c r="H70" s="6">
        <v>1.8777544948056009</v>
      </c>
      <c r="I70" s="6">
        <v>1.2614148838316561</v>
      </c>
      <c r="K70" s="6">
        <f t="shared" si="4"/>
        <v>1.4886097499513882</v>
      </c>
      <c r="L70" s="6">
        <f t="shared" si="3"/>
        <v>0.67176773498403852</v>
      </c>
      <c r="M70" s="6">
        <v>4.3636363636363633</v>
      </c>
      <c r="N70" s="6">
        <v>0.22916666666666666</v>
      </c>
      <c r="Q70" s="12">
        <v>3.7900000000000003E-2</v>
      </c>
    </row>
    <row r="71" spans="1:17" x14ac:dyDescent="0.2">
      <c r="A71">
        <v>12</v>
      </c>
      <c r="B71" s="5">
        <v>45176</v>
      </c>
      <c r="C71" s="17">
        <v>1</v>
      </c>
      <c r="D71" s="2">
        <v>21</v>
      </c>
      <c r="E71" s="2" t="s">
        <v>84</v>
      </c>
      <c r="F71" s="2">
        <v>2</v>
      </c>
      <c r="G71">
        <v>30</v>
      </c>
      <c r="H71" s="6">
        <v>6.1822875258955898</v>
      </c>
      <c r="I71" s="6">
        <v>4.5064544906213504</v>
      </c>
      <c r="K71" s="6">
        <f t="shared" si="4"/>
        <v>1.3718739507437421</v>
      </c>
      <c r="L71" s="6">
        <f t="shared" si="3"/>
        <v>0.72892994247603005</v>
      </c>
      <c r="M71" s="6">
        <v>4.2524271844660193</v>
      </c>
      <c r="N71" s="6">
        <v>0.23515981735159816</v>
      </c>
      <c r="P71">
        <v>30</v>
      </c>
      <c r="Q71" s="13">
        <v>9.0999999999999998E-2</v>
      </c>
    </row>
    <row r="72" spans="1:17" x14ac:dyDescent="0.2">
      <c r="A72">
        <v>12</v>
      </c>
      <c r="B72" s="5">
        <v>45176</v>
      </c>
      <c r="C72" s="17">
        <v>1</v>
      </c>
      <c r="D72" s="2">
        <v>15</v>
      </c>
      <c r="E72" s="2" t="s">
        <v>85</v>
      </c>
      <c r="F72" s="2">
        <v>2</v>
      </c>
      <c r="G72">
        <v>40</v>
      </c>
      <c r="H72" s="6">
        <v>3.9954186547952095</v>
      </c>
      <c r="I72" s="6">
        <v>3.4763233373331373</v>
      </c>
      <c r="K72" s="6">
        <f t="shared" si="4"/>
        <v>1.1493230827775349</v>
      </c>
      <c r="L72" s="6">
        <f t="shared" si="3"/>
        <v>0.87007736552487036</v>
      </c>
      <c r="M72" s="6">
        <v>4.0069444444444446</v>
      </c>
      <c r="N72" s="6">
        <v>0.24956672443674177</v>
      </c>
      <c r="Q72" s="12">
        <v>3.8100000000000002E-2</v>
      </c>
    </row>
    <row r="73" spans="1:17" x14ac:dyDescent="0.2">
      <c r="A73">
        <v>12</v>
      </c>
      <c r="B73" s="5">
        <v>45176</v>
      </c>
      <c r="C73" s="17">
        <v>1</v>
      </c>
      <c r="D73" s="2">
        <v>14</v>
      </c>
      <c r="E73" s="2" t="s">
        <v>86</v>
      </c>
      <c r="F73" s="2">
        <v>2</v>
      </c>
      <c r="G73">
        <v>56</v>
      </c>
      <c r="H73" s="6">
        <v>0.68558800473737658</v>
      </c>
      <c r="I73" s="6">
        <v>-2.1433160992634551E-2</v>
      </c>
      <c r="K73" s="6">
        <f t="shared" si="4"/>
        <v>-31.987255868277064</v>
      </c>
      <c r="L73" s="6">
        <f t="shared" si="3"/>
        <v>-3.1262450399558557E-2</v>
      </c>
      <c r="M73" s="6">
        <v>6.8046874999999991</v>
      </c>
      <c r="N73" s="6">
        <v>0.14695752009184848</v>
      </c>
      <c r="Q73" s="12">
        <v>2.46E-2</v>
      </c>
    </row>
    <row r="74" spans="1:17" x14ac:dyDescent="0.2">
      <c r="A74">
        <v>13</v>
      </c>
      <c r="B74" s="5">
        <v>45176</v>
      </c>
      <c r="C74" s="17">
        <v>1</v>
      </c>
      <c r="D74" s="2">
        <v>24</v>
      </c>
      <c r="E74" s="2" t="s">
        <v>87</v>
      </c>
      <c r="F74" s="2">
        <v>2</v>
      </c>
      <c r="G74">
        <v>3</v>
      </c>
      <c r="H74" s="6">
        <v>9.3195677629172316E-2</v>
      </c>
      <c r="I74" s="6">
        <v>0.56058174668205796</v>
      </c>
      <c r="K74" s="6">
        <f t="shared" si="4"/>
        <v>0.16624814878610308</v>
      </c>
      <c r="L74" s="6">
        <f t="shared" si="3"/>
        <v>6.0151045729033195</v>
      </c>
      <c r="M74" s="6">
        <v>1.8015873015873016</v>
      </c>
      <c r="N74" s="6">
        <v>0.55506607929515417</v>
      </c>
      <c r="Q74" s="12">
        <v>2.3199999999999998E-2</v>
      </c>
    </row>
    <row r="75" spans="1:17" x14ac:dyDescent="0.2">
      <c r="A75">
        <v>13</v>
      </c>
      <c r="B75" s="5">
        <v>45176</v>
      </c>
      <c r="C75" s="17">
        <v>1</v>
      </c>
      <c r="D75" s="2">
        <v>22</v>
      </c>
      <c r="E75" s="2" t="s">
        <v>88</v>
      </c>
      <c r="F75" s="2">
        <v>2</v>
      </c>
      <c r="G75">
        <v>10</v>
      </c>
      <c r="H75" s="6">
        <v>0.13933215170301999</v>
      </c>
      <c r="I75" s="6">
        <v>1.0385049540005455</v>
      </c>
      <c r="K75" s="6">
        <f t="shared" si="4"/>
        <v>0.13416609248350952</v>
      </c>
      <c r="L75" s="6">
        <f t="shared" si="3"/>
        <v>7.4534480470384938</v>
      </c>
      <c r="M75" s="6">
        <v>1.6651982378854624</v>
      </c>
      <c r="N75" s="6">
        <v>0.60052910052910058</v>
      </c>
      <c r="Q75" s="12">
        <v>2.7099999999999999E-2</v>
      </c>
    </row>
    <row r="76" spans="1:17" x14ac:dyDescent="0.2">
      <c r="A76">
        <v>13</v>
      </c>
      <c r="B76" s="5">
        <v>45176</v>
      </c>
      <c r="C76" s="17">
        <v>1</v>
      </c>
      <c r="D76" s="2">
        <v>21</v>
      </c>
      <c r="E76" s="2" t="s">
        <v>89</v>
      </c>
      <c r="F76" s="2">
        <v>2</v>
      </c>
      <c r="G76">
        <v>20</v>
      </c>
      <c r="H76" s="6">
        <v>0.21591869866560709</v>
      </c>
      <c r="I76" s="6">
        <v>1.9996603503891182</v>
      </c>
      <c r="K76" s="6">
        <f t="shared" si="4"/>
        <v>0.10797768662242616</v>
      </c>
      <c r="L76" s="6">
        <f t="shared" si="3"/>
        <v>9.2611726670601549</v>
      </c>
      <c r="M76" s="6">
        <v>1.5480093676814985</v>
      </c>
      <c r="N76" s="6">
        <v>0.64599092284417559</v>
      </c>
      <c r="P76">
        <v>20</v>
      </c>
      <c r="Q76" s="13">
        <v>5.0299999999999997E-2</v>
      </c>
    </row>
    <row r="77" spans="1:17" x14ac:dyDescent="0.2">
      <c r="A77">
        <v>13</v>
      </c>
      <c r="B77" s="5">
        <v>45176</v>
      </c>
      <c r="C77" s="17">
        <v>1</v>
      </c>
      <c r="D77" s="2">
        <v>20</v>
      </c>
      <c r="E77" s="2" t="s">
        <v>90</v>
      </c>
      <c r="F77" s="2">
        <v>2</v>
      </c>
      <c r="G77">
        <v>30</v>
      </c>
      <c r="H77" s="6">
        <v>0.16793676562880552</v>
      </c>
      <c r="I77" s="6">
        <v>1.9698116376745824</v>
      </c>
      <c r="K77" s="6">
        <f t="shared" si="4"/>
        <v>8.5255240865090814E-2</v>
      </c>
      <c r="L77" s="6">
        <f t="shared" si="3"/>
        <v>11.729484191856489</v>
      </c>
      <c r="M77" s="6">
        <v>1.4417475728155338</v>
      </c>
      <c r="N77" s="6">
        <v>0.69360269360269367</v>
      </c>
      <c r="Q77" s="12">
        <v>4.4200000000000003E-2</v>
      </c>
    </row>
    <row r="78" spans="1:17" x14ac:dyDescent="0.2">
      <c r="A78">
        <v>13</v>
      </c>
      <c r="B78" s="5">
        <v>45176</v>
      </c>
      <c r="C78" s="17">
        <v>1</v>
      </c>
      <c r="D78" s="2">
        <v>18</v>
      </c>
      <c r="E78" s="2" t="s">
        <v>91</v>
      </c>
      <c r="F78" s="2">
        <v>2</v>
      </c>
      <c r="G78">
        <v>40</v>
      </c>
      <c r="H78" s="6">
        <v>0.10057751348098794</v>
      </c>
      <c r="I78" s="6">
        <v>0.95273055902043879</v>
      </c>
      <c r="K78" s="6">
        <f t="shared" si="4"/>
        <v>0.10556763665101485</v>
      </c>
      <c r="L78" s="6">
        <f t="shared" si="3"/>
        <v>9.4726000479275374</v>
      </c>
      <c r="M78" s="6">
        <v>1.5369458128078817</v>
      </c>
      <c r="N78" s="6">
        <v>0.65064102564102566</v>
      </c>
      <c r="Q78" s="12">
        <v>3.1899999999999998E-2</v>
      </c>
    </row>
    <row r="79" spans="1:17" x14ac:dyDescent="0.2">
      <c r="A79">
        <v>13</v>
      </c>
      <c r="B79" s="5">
        <v>45176</v>
      </c>
      <c r="C79" s="17">
        <v>1</v>
      </c>
      <c r="D79" s="2">
        <v>16</v>
      </c>
      <c r="E79" s="2" t="s">
        <v>92</v>
      </c>
      <c r="F79" s="2">
        <v>2</v>
      </c>
      <c r="G79">
        <v>55</v>
      </c>
      <c r="H79" s="6">
        <v>4.9273754310869326E-2</v>
      </c>
      <c r="I79" s="6">
        <v>0.41044592659369417</v>
      </c>
      <c r="K79" s="6">
        <f t="shared" si="4"/>
        <v>0.12004931982099086</v>
      </c>
      <c r="L79" s="6">
        <f t="shared" si="3"/>
        <v>8.3299097528509947</v>
      </c>
      <c r="M79" s="6">
        <v>1.6027088036117381</v>
      </c>
      <c r="N79" s="6">
        <v>0.62394366197183093</v>
      </c>
      <c r="Q79" s="12">
        <v>2.4500000000000001E-2</v>
      </c>
    </row>
    <row r="80" spans="1:17" x14ac:dyDescent="0.2">
      <c r="A80">
        <v>14</v>
      </c>
      <c r="B80" s="5">
        <v>45177</v>
      </c>
      <c r="C80" s="17">
        <v>1</v>
      </c>
      <c r="D80" s="2">
        <v>15</v>
      </c>
      <c r="E80" s="2" t="s">
        <v>93</v>
      </c>
      <c r="F80" s="2">
        <v>2</v>
      </c>
      <c r="G80">
        <v>2.8</v>
      </c>
      <c r="H80" s="6">
        <v>0.30726891733182554</v>
      </c>
      <c r="I80" s="6">
        <v>1.742271420786714</v>
      </c>
      <c r="K80" s="6">
        <f t="shared" ref="K80:K85" si="5">H80/I80</f>
        <v>0.17636110749786607</v>
      </c>
      <c r="L80" s="6">
        <f t="shared" si="3"/>
        <v>5.6701843971585388</v>
      </c>
      <c r="M80" s="6">
        <v>1.8430379746835441</v>
      </c>
      <c r="N80" s="6">
        <v>0.54258241758241765</v>
      </c>
      <c r="Q80" s="12">
        <v>3.2099999999999997E-2</v>
      </c>
    </row>
    <row r="81" spans="1:17" x14ac:dyDescent="0.2">
      <c r="A81">
        <v>14</v>
      </c>
      <c r="B81" s="5">
        <v>45177</v>
      </c>
      <c r="C81" s="17">
        <v>1</v>
      </c>
      <c r="D81" s="2">
        <v>14</v>
      </c>
      <c r="E81" s="2" t="s">
        <v>98</v>
      </c>
      <c r="F81" s="2">
        <v>2</v>
      </c>
      <c r="G81">
        <v>10</v>
      </c>
      <c r="H81" s="6">
        <v>0.27958703288751702</v>
      </c>
      <c r="I81" s="6">
        <v>1.6869339497629297</v>
      </c>
      <c r="K81" s="6">
        <f t="shared" si="5"/>
        <v>0.16573679895813839</v>
      </c>
      <c r="L81" s="6">
        <f t="shared" si="3"/>
        <v>6.0336630506094107</v>
      </c>
      <c r="M81" s="6">
        <v>1.7994722955145119</v>
      </c>
      <c r="N81" s="6">
        <v>0.55571847507331373</v>
      </c>
      <c r="Q81" s="12">
        <v>4.2500000000000003E-2</v>
      </c>
    </row>
    <row r="82" spans="1:17" x14ac:dyDescent="0.2">
      <c r="A82">
        <v>14</v>
      </c>
      <c r="B82" s="5">
        <v>45177</v>
      </c>
      <c r="C82" s="17">
        <v>1</v>
      </c>
      <c r="D82" s="2">
        <v>13</v>
      </c>
      <c r="E82" s="2" t="s">
        <v>94</v>
      </c>
      <c r="F82" s="2">
        <v>4</v>
      </c>
      <c r="G82">
        <v>20</v>
      </c>
      <c r="H82" s="6">
        <v>6.2745604740432864E-2</v>
      </c>
      <c r="I82" s="6">
        <v>0.70518343333942501</v>
      </c>
      <c r="K82" s="6">
        <f t="shared" si="5"/>
        <v>8.8977706755387728E-2</v>
      </c>
      <c r="L82" s="6">
        <f t="shared" si="3"/>
        <v>11.238770209589029</v>
      </c>
      <c r="M82" s="6">
        <v>1.4594594594594594</v>
      </c>
      <c r="N82" s="6">
        <v>0.68518518518518512</v>
      </c>
      <c r="Q82" s="13">
        <v>0.10290000000000001</v>
      </c>
    </row>
    <row r="83" spans="1:17" x14ac:dyDescent="0.2">
      <c r="A83">
        <v>14</v>
      </c>
      <c r="B83" s="5">
        <v>45177</v>
      </c>
      <c r="C83" s="17">
        <v>1</v>
      </c>
      <c r="D83" s="2">
        <v>12</v>
      </c>
      <c r="E83" s="2" t="s">
        <v>95</v>
      </c>
      <c r="F83" s="2">
        <v>4</v>
      </c>
      <c r="G83">
        <v>30</v>
      </c>
      <c r="H83" s="6">
        <v>0.5268785339233405</v>
      </c>
      <c r="I83" s="6">
        <v>3.3594650439267508</v>
      </c>
      <c r="K83" s="6">
        <f t="shared" si="5"/>
        <v>0.15683405751633964</v>
      </c>
      <c r="L83" s="6">
        <f t="shared" si="3"/>
        <v>6.3761660945092604</v>
      </c>
      <c r="M83" s="6">
        <v>1.7623497997329771</v>
      </c>
      <c r="N83" s="6">
        <v>0.5674242424242425</v>
      </c>
      <c r="P83">
        <v>20</v>
      </c>
      <c r="Q83" s="12">
        <v>4.48E-2</v>
      </c>
    </row>
    <row r="84" spans="1:17" x14ac:dyDescent="0.2">
      <c r="A84">
        <v>14</v>
      </c>
      <c r="B84" s="5">
        <v>45177</v>
      </c>
      <c r="C84" s="17">
        <v>1</v>
      </c>
      <c r="D84" s="2">
        <v>11</v>
      </c>
      <c r="E84" s="2" t="s">
        <v>96</v>
      </c>
      <c r="F84" s="2">
        <v>4</v>
      </c>
      <c r="G84">
        <v>40</v>
      </c>
      <c r="H84" s="6">
        <v>0.47428295347915428</v>
      </c>
      <c r="I84" s="6">
        <v>3.7078170782260167</v>
      </c>
      <c r="K84" s="6">
        <f t="shared" si="5"/>
        <v>0.1279143343570962</v>
      </c>
      <c r="L84" s="6">
        <f t="shared" si="3"/>
        <v>7.8177321175617225</v>
      </c>
      <c r="M84" s="6">
        <v>1.6377171215880895</v>
      </c>
      <c r="N84" s="6">
        <v>0.6106060606060606</v>
      </c>
      <c r="Q84" s="12">
        <v>3.5999999999999997E-2</v>
      </c>
    </row>
    <row r="85" spans="1:17" x14ac:dyDescent="0.2">
      <c r="A85">
        <v>14</v>
      </c>
      <c r="B85" s="5">
        <v>45177</v>
      </c>
      <c r="C85" s="17">
        <v>1</v>
      </c>
      <c r="D85" s="2">
        <v>10</v>
      </c>
      <c r="E85" s="2" t="s">
        <v>97</v>
      </c>
      <c r="F85" s="2">
        <v>4</v>
      </c>
      <c r="G85">
        <v>55</v>
      </c>
      <c r="H85" s="6">
        <v>0.14394579911040478</v>
      </c>
      <c r="I85" s="6">
        <v>1.2621945341304164</v>
      </c>
      <c r="K85" s="6">
        <f t="shared" si="5"/>
        <v>0.11404406786595352</v>
      </c>
      <c r="L85" s="6">
        <f t="shared" si="3"/>
        <v>8.7685402556439147</v>
      </c>
      <c r="M85" s="6">
        <v>1.5756457564575646</v>
      </c>
      <c r="N85" s="6">
        <v>0.63466042154566749</v>
      </c>
      <c r="Q85" s="12">
        <v>2.5600000000000001E-2</v>
      </c>
    </row>
    <row r="86" spans="1:17" x14ac:dyDescent="0.2">
      <c r="A86">
        <v>15</v>
      </c>
      <c r="B86" s="5">
        <v>45177</v>
      </c>
      <c r="C86" s="17">
        <v>1</v>
      </c>
      <c r="D86" s="2">
        <v>24</v>
      </c>
      <c r="E86" s="2" t="s">
        <v>99</v>
      </c>
      <c r="F86" s="2">
        <v>2</v>
      </c>
      <c r="G86">
        <v>2</v>
      </c>
      <c r="H86" s="6">
        <v>0.1753186014806212</v>
      </c>
      <c r="I86" s="6">
        <v>0.99214108478943297</v>
      </c>
      <c r="K86" s="6">
        <f t="shared" si="4"/>
        <v>0.17670732939945727</v>
      </c>
      <c r="L86" s="6">
        <f t="shared" si="3"/>
        <v>5.6590748295416846</v>
      </c>
      <c r="M86" s="6">
        <v>1.8444444444444446</v>
      </c>
      <c r="N86" s="6">
        <v>0.54216867469879515</v>
      </c>
      <c r="Q86" s="12"/>
    </row>
    <row r="87" spans="1:17" x14ac:dyDescent="0.2">
      <c r="A87">
        <v>15</v>
      </c>
      <c r="B87" s="5">
        <v>45177</v>
      </c>
      <c r="C87" s="17">
        <v>1</v>
      </c>
      <c r="D87" s="2">
        <v>22</v>
      </c>
      <c r="E87" s="2" t="s">
        <v>100</v>
      </c>
      <c r="F87" s="2">
        <v>2</v>
      </c>
      <c r="G87">
        <v>10</v>
      </c>
      <c r="H87" s="6">
        <v>0.33218261333170335</v>
      </c>
      <c r="I87" s="6">
        <v>2.0961335341100091</v>
      </c>
      <c r="K87" s="6">
        <f t="shared" si="4"/>
        <v>0.15847397502408822</v>
      </c>
      <c r="L87" s="6">
        <f t="shared" si="3"/>
        <v>6.3101843684302041</v>
      </c>
      <c r="M87" s="6">
        <v>1.7692307692307694</v>
      </c>
      <c r="N87" s="6">
        <v>0.56521739130434778</v>
      </c>
      <c r="Q87" s="12">
        <v>3.1800000000000002E-2</v>
      </c>
    </row>
    <row r="88" spans="1:17" x14ac:dyDescent="0.2">
      <c r="A88">
        <v>15</v>
      </c>
      <c r="B88" s="5">
        <v>45177</v>
      </c>
      <c r="C88" s="17">
        <v>1</v>
      </c>
      <c r="D88" s="2">
        <v>21</v>
      </c>
      <c r="E88" s="2" t="s">
        <v>101</v>
      </c>
      <c r="F88" s="2">
        <v>2</v>
      </c>
      <c r="G88">
        <v>20</v>
      </c>
      <c r="H88" s="6">
        <v>1.181093736290501E-2</v>
      </c>
      <c r="I88" s="6">
        <v>0.2616340647101254</v>
      </c>
      <c r="K88" s="6">
        <f t="shared" si="4"/>
        <v>4.5142964758777909E-2</v>
      </c>
      <c r="L88" s="6">
        <f t="shared" si="3"/>
        <v>22.15184592645863</v>
      </c>
      <c r="M88" s="6">
        <v>1.2428842504743833</v>
      </c>
      <c r="N88" s="6">
        <v>0.80458015267175564</v>
      </c>
      <c r="Q88" s="12">
        <v>5.1999999999999998E-2</v>
      </c>
    </row>
    <row r="89" spans="1:17" x14ac:dyDescent="0.2">
      <c r="A89">
        <v>15</v>
      </c>
      <c r="B89" s="5">
        <v>45177</v>
      </c>
      <c r="C89" s="17">
        <v>1</v>
      </c>
      <c r="D89" s="2">
        <v>20</v>
      </c>
      <c r="E89" s="2" t="s">
        <v>102</v>
      </c>
      <c r="F89" s="2">
        <v>2</v>
      </c>
      <c r="G89">
        <v>29</v>
      </c>
      <c r="H89" s="6">
        <v>0.31557348266511814</v>
      </c>
      <c r="I89" s="6">
        <v>2.9325588000240104</v>
      </c>
      <c r="K89" s="6">
        <f t="shared" si="4"/>
        <v>0.1076102830956141</v>
      </c>
      <c r="L89" s="6">
        <f t="shared" si="3"/>
        <v>9.2927922056619625</v>
      </c>
      <c r="M89" s="6">
        <v>1.5463258785942491</v>
      </c>
      <c r="N89" s="6">
        <v>0.64669421487603307</v>
      </c>
      <c r="P89">
        <v>29</v>
      </c>
      <c r="Q89" s="13">
        <v>8.5300000000000001E-2</v>
      </c>
    </row>
    <row r="90" spans="1:17" x14ac:dyDescent="0.2">
      <c r="A90">
        <v>15</v>
      </c>
      <c r="B90" s="5">
        <v>45177</v>
      </c>
      <c r="C90" s="17">
        <v>1</v>
      </c>
      <c r="D90" s="2">
        <v>19</v>
      </c>
      <c r="E90" s="2" t="s">
        <v>103</v>
      </c>
      <c r="F90" s="2">
        <v>2</v>
      </c>
      <c r="G90">
        <v>40</v>
      </c>
      <c r="H90" s="6">
        <v>0.12087756207348095</v>
      </c>
      <c r="I90" s="6">
        <v>1.3786595460689441</v>
      </c>
      <c r="K90" s="6">
        <f t="shared" si="4"/>
        <v>8.7677601347008763E-2</v>
      </c>
      <c r="L90" s="6">
        <f t="shared" si="3"/>
        <v>11.405421506026594</v>
      </c>
      <c r="M90" s="6">
        <v>1.453287197231834</v>
      </c>
      <c r="N90" s="6">
        <v>0.68809523809523809</v>
      </c>
      <c r="Q90" s="12">
        <v>4.5999999999999999E-2</v>
      </c>
    </row>
    <row r="91" spans="1:17" x14ac:dyDescent="0.2">
      <c r="A91">
        <v>15</v>
      </c>
      <c r="B91" s="5">
        <v>45177</v>
      </c>
      <c r="C91" s="17">
        <v>1</v>
      </c>
      <c r="D91" s="2">
        <v>18</v>
      </c>
      <c r="E91" s="2" t="s">
        <v>104</v>
      </c>
      <c r="F91" s="2">
        <v>2</v>
      </c>
      <c r="G91">
        <v>55</v>
      </c>
      <c r="H91" s="6">
        <v>7.5663817481110202E-2</v>
      </c>
      <c r="I91" s="6">
        <v>0.63518941371443371</v>
      </c>
      <c r="K91" s="6">
        <f t="shared" si="4"/>
        <v>0.11912008583179391</v>
      </c>
      <c r="L91" s="6">
        <f t="shared" si="3"/>
        <v>8.3948898543615176</v>
      </c>
      <c r="M91" s="6">
        <v>1.5985401459854014</v>
      </c>
      <c r="N91" s="6">
        <v>0.62557077625570778</v>
      </c>
      <c r="Q91" s="12">
        <v>2.8500000000000001E-2</v>
      </c>
    </row>
    <row r="92" spans="1:17" x14ac:dyDescent="0.2">
      <c r="A92">
        <v>16</v>
      </c>
      <c r="B92" s="5">
        <v>45178</v>
      </c>
      <c r="C92" s="17">
        <v>1</v>
      </c>
      <c r="D92" s="2">
        <v>24</v>
      </c>
      <c r="E92" s="2" t="s">
        <v>105</v>
      </c>
      <c r="F92" s="2">
        <v>2</v>
      </c>
      <c r="G92">
        <v>3</v>
      </c>
      <c r="H92" s="6">
        <v>4.5121471644223025E-2</v>
      </c>
      <c r="I92" s="6">
        <v>0.43275869326898581</v>
      </c>
      <c r="K92" s="6">
        <f t="shared" si="4"/>
        <v>0.10426473770724992</v>
      </c>
      <c r="L92" s="6">
        <f t="shared" si="3"/>
        <v>9.5909702742240359</v>
      </c>
      <c r="M92" s="6">
        <v>1.5309446254071659</v>
      </c>
      <c r="N92" s="6">
        <v>0.65319148936170224</v>
      </c>
      <c r="Q92" s="12">
        <v>2.35E-2</v>
      </c>
    </row>
    <row r="93" spans="1:17" x14ac:dyDescent="0.2">
      <c r="A93">
        <v>16</v>
      </c>
      <c r="B93" s="5">
        <v>45178</v>
      </c>
      <c r="C93" s="17">
        <v>1</v>
      </c>
      <c r="D93" s="2">
        <v>20</v>
      </c>
      <c r="E93" s="2" t="s">
        <v>106</v>
      </c>
      <c r="F93" s="2">
        <v>2</v>
      </c>
      <c r="G93">
        <v>10</v>
      </c>
      <c r="H93" s="6">
        <v>9.1350218666218438E-2</v>
      </c>
      <c r="I93" s="6">
        <v>1.044977209303301</v>
      </c>
      <c r="K93" s="6">
        <f t="shared" si="4"/>
        <v>8.741838372448596E-2</v>
      </c>
      <c r="L93" s="6">
        <f t="shared" si="3"/>
        <v>11.439241466093353</v>
      </c>
      <c r="M93" s="6">
        <v>1.452054794520548</v>
      </c>
      <c r="N93" s="6">
        <v>0.68867924528301883</v>
      </c>
      <c r="Q93" s="12">
        <v>2.53E-2</v>
      </c>
    </row>
    <row r="94" spans="1:17" x14ac:dyDescent="0.2">
      <c r="A94">
        <v>16</v>
      </c>
      <c r="B94" s="5">
        <v>45178</v>
      </c>
      <c r="C94" s="17">
        <v>1</v>
      </c>
      <c r="D94" s="2">
        <v>19</v>
      </c>
      <c r="E94" s="2" t="s">
        <v>107</v>
      </c>
      <c r="F94" s="2">
        <v>2</v>
      </c>
      <c r="G94">
        <v>20</v>
      </c>
      <c r="H94" s="6">
        <v>0.16978222459175946</v>
      </c>
      <c r="I94" s="6">
        <v>2.4038177949191155</v>
      </c>
      <c r="K94" s="6">
        <f t="shared" si="4"/>
        <v>7.0630238677250642E-2</v>
      </c>
      <c r="L94" s="6">
        <f t="shared" si="3"/>
        <v>14.158241834203103</v>
      </c>
      <c r="M94" s="6">
        <v>1.3709677419354838</v>
      </c>
      <c r="N94" s="6">
        <v>0.72941176470588243</v>
      </c>
      <c r="P94">
        <v>20</v>
      </c>
      <c r="Q94" s="13">
        <v>4.9700000000000001E-2</v>
      </c>
    </row>
    <row r="95" spans="1:17" x14ac:dyDescent="0.2">
      <c r="A95">
        <v>16</v>
      </c>
      <c r="B95" s="5">
        <v>45178</v>
      </c>
      <c r="C95" s="17">
        <v>1</v>
      </c>
      <c r="D95" s="2">
        <v>18</v>
      </c>
      <c r="E95" s="2" t="s">
        <v>108</v>
      </c>
      <c r="F95" s="2">
        <v>2</v>
      </c>
      <c r="G95">
        <v>30</v>
      </c>
      <c r="H95" s="6">
        <v>8.3968382814402762E-2</v>
      </c>
      <c r="I95" s="6">
        <v>1.1198122714729419</v>
      </c>
      <c r="K95" s="6">
        <f t="shared" si="4"/>
        <v>7.4984338851685539E-2</v>
      </c>
      <c r="L95" s="6">
        <f t="shared" si="3"/>
        <v>13.336118118984006</v>
      </c>
      <c r="M95" s="6">
        <v>1.3922413793103448</v>
      </c>
      <c r="N95" s="6">
        <v>0.71826625386996912</v>
      </c>
      <c r="Q95" s="12">
        <v>3.4700000000000002E-2</v>
      </c>
    </row>
    <row r="96" spans="1:17" x14ac:dyDescent="0.2">
      <c r="A96">
        <v>16</v>
      </c>
      <c r="B96" s="5">
        <v>45178</v>
      </c>
      <c r="C96" s="17">
        <v>1</v>
      </c>
      <c r="D96" s="2">
        <v>16</v>
      </c>
      <c r="E96" s="2" t="s">
        <v>109</v>
      </c>
      <c r="F96" s="2">
        <v>2</v>
      </c>
      <c r="G96">
        <v>40</v>
      </c>
      <c r="H96" s="6">
        <v>4.890466251827854E-2</v>
      </c>
      <c r="I96" s="6">
        <v>0.52704211604161477</v>
      </c>
      <c r="K96" s="6">
        <f t="shared" si="4"/>
        <v>9.2790805572769586E-2</v>
      </c>
      <c r="L96" s="6">
        <f t="shared" si="3"/>
        <v>10.77692982432152</v>
      </c>
      <c r="M96" s="6">
        <v>1.4774774774774775</v>
      </c>
      <c r="N96" s="6">
        <v>0.67682926829268297</v>
      </c>
      <c r="Q96" s="12">
        <v>2.8799999999999999E-2</v>
      </c>
    </row>
    <row r="97" spans="1:17" x14ac:dyDescent="0.2">
      <c r="A97">
        <v>16</v>
      </c>
      <c r="B97" s="5">
        <v>45178</v>
      </c>
      <c r="C97" s="17">
        <v>1</v>
      </c>
      <c r="D97" s="2">
        <v>15</v>
      </c>
      <c r="E97" s="2" t="s">
        <v>110</v>
      </c>
      <c r="F97" s="2">
        <v>2</v>
      </c>
      <c r="G97">
        <v>55</v>
      </c>
      <c r="H97" s="6">
        <v>1.9008227318425244E-2</v>
      </c>
      <c r="I97" s="6">
        <v>0.25703112961298313</v>
      </c>
      <c r="K97" s="6">
        <f t="shared" si="4"/>
        <v>7.3953016302135494E-2</v>
      </c>
      <c r="L97" s="6">
        <f t="shared" si="3"/>
        <v>13.52209889471572</v>
      </c>
      <c r="M97" s="6">
        <v>1.3872180451127818</v>
      </c>
      <c r="N97" s="6">
        <v>0.72086720867208676</v>
      </c>
      <c r="Q97" s="12">
        <v>2.46E-2</v>
      </c>
    </row>
    <row r="98" spans="1:17" x14ac:dyDescent="0.2">
      <c r="A98">
        <v>17</v>
      </c>
      <c r="B98" s="5">
        <v>45178</v>
      </c>
      <c r="C98" s="17">
        <v>1</v>
      </c>
      <c r="D98" s="2">
        <v>24</v>
      </c>
      <c r="E98" s="2" t="s">
        <v>111</v>
      </c>
      <c r="F98" s="2">
        <v>2</v>
      </c>
      <c r="G98">
        <v>3</v>
      </c>
      <c r="H98" s="6">
        <v>5.2595580444186357E-2</v>
      </c>
      <c r="I98" s="6">
        <v>0.46627539123139322</v>
      </c>
      <c r="K98" s="6">
        <f t="shared" si="4"/>
        <v>0.11279939158977692</v>
      </c>
      <c r="L98" s="6">
        <f t="shared" si="3"/>
        <v>8.8652960437654578</v>
      </c>
      <c r="M98" s="6">
        <v>1.5699999999999998</v>
      </c>
      <c r="N98" s="6">
        <v>0.63694267515923575</v>
      </c>
      <c r="Q98" s="12">
        <v>2.7400000000000001E-2</v>
      </c>
    </row>
    <row r="99" spans="1:17" x14ac:dyDescent="0.2">
      <c r="A99">
        <v>17</v>
      </c>
      <c r="B99" s="5">
        <v>45178</v>
      </c>
      <c r="C99" s="17">
        <v>1</v>
      </c>
      <c r="D99" s="2">
        <v>22</v>
      </c>
      <c r="E99" s="2" t="s">
        <v>112</v>
      </c>
      <c r="F99" s="2">
        <v>2</v>
      </c>
      <c r="G99">
        <v>10</v>
      </c>
      <c r="H99" s="6">
        <v>7.1050170073725424E-2</v>
      </c>
      <c r="I99" s="6">
        <v>0.5931046736710166</v>
      </c>
      <c r="K99" s="6">
        <f t="shared" si="4"/>
        <v>0.119793643900934</v>
      </c>
      <c r="L99" s="6">
        <f t="shared" si="3"/>
        <v>8.3476883032873772</v>
      </c>
      <c r="M99" s="6">
        <v>1.6015625</v>
      </c>
      <c r="N99" s="6">
        <v>0.62439024390243902</v>
      </c>
      <c r="Q99" s="12">
        <v>2.7799999999999998E-2</v>
      </c>
    </row>
    <row r="100" spans="1:17" x14ac:dyDescent="0.2">
      <c r="A100">
        <v>17</v>
      </c>
      <c r="B100" s="5">
        <v>45178</v>
      </c>
      <c r="C100" s="17">
        <v>1</v>
      </c>
      <c r="D100" s="2">
        <v>21</v>
      </c>
      <c r="E100" s="2" t="s">
        <v>113</v>
      </c>
      <c r="F100" s="2">
        <v>2</v>
      </c>
      <c r="G100">
        <v>20</v>
      </c>
      <c r="H100" s="6">
        <v>0.140254881184497</v>
      </c>
      <c r="I100" s="6">
        <v>1.2088096451720103</v>
      </c>
      <c r="K100" s="6">
        <f t="shared" si="4"/>
        <v>0.11602726843277224</v>
      </c>
      <c r="L100" s="6">
        <f t="shared" si="3"/>
        <v>8.6186636426713221</v>
      </c>
      <c r="M100" s="6">
        <v>1.5846153846153848</v>
      </c>
      <c r="N100" s="6">
        <v>0.63106796116504849</v>
      </c>
      <c r="Q100" s="12">
        <v>2.81E-2</v>
      </c>
    </row>
    <row r="101" spans="1:17" x14ac:dyDescent="0.2">
      <c r="A101">
        <v>17</v>
      </c>
      <c r="B101" s="5">
        <v>45178</v>
      </c>
      <c r="C101" s="17">
        <v>1</v>
      </c>
      <c r="D101" s="2">
        <v>20</v>
      </c>
      <c r="E101" s="2" t="s">
        <v>114</v>
      </c>
      <c r="F101" s="2">
        <v>2</v>
      </c>
      <c r="G101">
        <v>30</v>
      </c>
      <c r="H101" s="6">
        <v>0.18731408473982164</v>
      </c>
      <c r="I101" s="6">
        <v>1.6443004452749743</v>
      </c>
      <c r="K101" s="6">
        <f t="shared" si="4"/>
        <v>0.11391718908675315</v>
      </c>
      <c r="L101" s="6">
        <f t="shared" si="3"/>
        <v>8.7783064875174741</v>
      </c>
      <c r="M101" s="6">
        <v>1.5750708215297453</v>
      </c>
      <c r="N101" s="6">
        <v>0.63489208633093519</v>
      </c>
      <c r="P101">
        <v>30</v>
      </c>
      <c r="Q101" s="13">
        <v>4.0800000000000003E-2</v>
      </c>
    </row>
    <row r="102" spans="1:17" x14ac:dyDescent="0.2">
      <c r="A102">
        <v>17</v>
      </c>
      <c r="B102" s="5">
        <v>45178</v>
      </c>
      <c r="C102" s="17">
        <v>1</v>
      </c>
      <c r="D102" s="2">
        <v>18</v>
      </c>
      <c r="E102" s="2" t="s">
        <v>115</v>
      </c>
      <c r="F102" s="2">
        <v>2</v>
      </c>
      <c r="G102">
        <v>40</v>
      </c>
      <c r="H102" s="6">
        <v>1.0888207881428056E-2</v>
      </c>
      <c r="I102" s="6">
        <v>0.13335792224438306</v>
      </c>
      <c r="K102" s="6">
        <f t="shared" si="4"/>
        <v>8.1646502121374046E-2</v>
      </c>
      <c r="L102" s="6">
        <f t="shared" si="3"/>
        <v>12.247922127924356</v>
      </c>
      <c r="M102" s="6">
        <v>1.4244604316546763</v>
      </c>
      <c r="N102" s="6">
        <v>0.70202020202020199</v>
      </c>
      <c r="Q102" s="12">
        <v>2.63E-2</v>
      </c>
    </row>
    <row r="103" spans="1:17" x14ac:dyDescent="0.2">
      <c r="A103">
        <v>17</v>
      </c>
      <c r="B103" s="5">
        <v>45178</v>
      </c>
      <c r="C103" s="17">
        <v>1</v>
      </c>
      <c r="D103" s="2">
        <v>17</v>
      </c>
      <c r="E103" s="2" t="s">
        <v>116</v>
      </c>
      <c r="F103" s="2">
        <v>2</v>
      </c>
      <c r="G103">
        <v>55</v>
      </c>
      <c r="H103" s="6">
        <v>3.8662365273884357E-2</v>
      </c>
      <c r="I103" s="6">
        <v>0.32506618587069691</v>
      </c>
      <c r="K103" s="6">
        <f t="shared" si="4"/>
        <v>0.11893690255824783</v>
      </c>
      <c r="L103" s="6">
        <f t="shared" si="3"/>
        <v>8.40781942770254</v>
      </c>
      <c r="M103" s="6">
        <v>1.5977175463623394</v>
      </c>
      <c r="N103" s="6">
        <v>0.62589285714285714</v>
      </c>
      <c r="Q103" s="12">
        <v>2.1399999999999999E-2</v>
      </c>
    </row>
    <row r="104" spans="1:17" x14ac:dyDescent="0.2">
      <c r="A104">
        <v>18</v>
      </c>
      <c r="B104" s="5">
        <v>45179</v>
      </c>
      <c r="C104" s="17">
        <v>1</v>
      </c>
      <c r="D104" s="2">
        <v>21</v>
      </c>
      <c r="E104" s="2" t="s">
        <v>117</v>
      </c>
      <c r="F104" s="2">
        <v>2</v>
      </c>
      <c r="G104">
        <v>10</v>
      </c>
      <c r="H104" s="6">
        <v>7.1050170073725438E-2</v>
      </c>
      <c r="I104" s="6">
        <v>0.62423693197155128</v>
      </c>
      <c r="K104" s="6">
        <f t="shared" si="4"/>
        <v>0.11381923502879744</v>
      </c>
      <c r="L104" s="6">
        <f t="shared" si="3"/>
        <v>8.7858611925039707</v>
      </c>
      <c r="M104" s="6">
        <v>1.5746268656716418</v>
      </c>
      <c r="N104" s="6">
        <v>0.63507109004739337</v>
      </c>
      <c r="Q104" s="12">
        <v>3.0300000000000001E-2</v>
      </c>
    </row>
    <row r="105" spans="1:17" x14ac:dyDescent="0.2">
      <c r="A105">
        <v>18</v>
      </c>
      <c r="B105" s="5">
        <v>45179</v>
      </c>
      <c r="C105" s="17">
        <v>1</v>
      </c>
      <c r="D105" s="2">
        <v>20</v>
      </c>
      <c r="E105" s="2" t="s">
        <v>118</v>
      </c>
      <c r="F105" s="2">
        <v>2</v>
      </c>
      <c r="G105">
        <v>20</v>
      </c>
      <c r="H105" s="6">
        <v>0.14579125807335866</v>
      </c>
      <c r="I105" s="6">
        <v>1.1565748808323462</v>
      </c>
      <c r="K105" s="6">
        <f t="shared" si="4"/>
        <v>0.12605431821970561</v>
      </c>
      <c r="L105" s="6">
        <f t="shared" si="3"/>
        <v>7.9330880062121798</v>
      </c>
      <c r="M105" s="6">
        <v>1.6294820717131473</v>
      </c>
      <c r="N105" s="6">
        <v>0.61369193154034241</v>
      </c>
      <c r="P105">
        <v>20</v>
      </c>
      <c r="Q105" s="13">
        <v>4.4499999999999998E-2</v>
      </c>
    </row>
    <row r="106" spans="1:17" x14ac:dyDescent="0.2">
      <c r="A106">
        <v>18</v>
      </c>
      <c r="B106" s="5">
        <v>45179</v>
      </c>
      <c r="C106" s="17">
        <v>1</v>
      </c>
      <c r="D106" s="2">
        <v>19</v>
      </c>
      <c r="E106" s="2" t="s">
        <v>119</v>
      </c>
      <c r="F106" s="2">
        <v>2</v>
      </c>
      <c r="G106">
        <v>30</v>
      </c>
      <c r="H106" s="6">
        <v>0.10795934933280357</v>
      </c>
      <c r="I106" s="6">
        <v>1.4849745337112259</v>
      </c>
      <c r="K106" s="6">
        <f t="shared" si="4"/>
        <v>7.2701145293713021E-2</v>
      </c>
      <c r="L106" s="6">
        <f t="shared" si="3"/>
        <v>13.754941493149724</v>
      </c>
      <c r="M106" s="6">
        <v>1.3811074918566775</v>
      </c>
      <c r="N106" s="6">
        <v>0.72405660377358494</v>
      </c>
      <c r="Q106" s="12">
        <v>4.24E-2</v>
      </c>
    </row>
    <row r="107" spans="1:17" x14ac:dyDescent="0.2">
      <c r="A107">
        <v>18</v>
      </c>
      <c r="B107" s="5">
        <v>45179</v>
      </c>
      <c r="C107" s="17">
        <v>1</v>
      </c>
      <c r="D107" s="2">
        <v>17</v>
      </c>
      <c r="E107" s="2" t="s">
        <v>120</v>
      </c>
      <c r="F107" s="2">
        <v>2</v>
      </c>
      <c r="G107">
        <v>40</v>
      </c>
      <c r="H107" s="6">
        <v>3.5894176829453499E-2</v>
      </c>
      <c r="I107" s="6">
        <v>0.26816421257243617</v>
      </c>
      <c r="K107" s="6">
        <f t="shared" si="4"/>
        <v>0.13385148034903357</v>
      </c>
      <c r="L107" s="6">
        <f t="shared" si="3"/>
        <v>7.4709670553689937</v>
      </c>
      <c r="M107" s="6">
        <v>1.6638225255972696</v>
      </c>
      <c r="N107" s="6">
        <v>0.60102564102564104</v>
      </c>
      <c r="Q107" s="12">
        <v>2.5600000000000001E-2</v>
      </c>
    </row>
    <row r="108" spans="1:17" x14ac:dyDescent="0.2">
      <c r="A108">
        <v>18</v>
      </c>
      <c r="B108" s="5">
        <v>45179</v>
      </c>
      <c r="C108" s="17">
        <v>1</v>
      </c>
      <c r="D108" s="2">
        <v>16</v>
      </c>
      <c r="E108" s="2" t="s">
        <v>121</v>
      </c>
      <c r="F108" s="2">
        <v>2</v>
      </c>
      <c r="G108">
        <v>55</v>
      </c>
      <c r="H108" s="6">
        <v>5.9977416296001984E-3</v>
      </c>
      <c r="I108" s="6">
        <v>9.4663226875462247E-2</v>
      </c>
      <c r="K108" s="6">
        <f t="shared" si="4"/>
        <v>6.3358727856285227E-2</v>
      </c>
      <c r="L108" s="6">
        <f t="shared" si="3"/>
        <v>15.783145177224377</v>
      </c>
      <c r="M108" s="6">
        <v>1.3350515463917525</v>
      </c>
      <c r="N108" s="6">
        <v>0.74903474903474909</v>
      </c>
      <c r="Q108" s="12">
        <v>2.2599999999999999E-2</v>
      </c>
    </row>
    <row r="109" spans="1:17" x14ac:dyDescent="0.2">
      <c r="A109">
        <v>19</v>
      </c>
      <c r="B109" s="5">
        <v>45179</v>
      </c>
      <c r="C109" s="17">
        <v>1</v>
      </c>
      <c r="D109" s="2">
        <v>24</v>
      </c>
      <c r="E109" s="2" t="s">
        <v>122</v>
      </c>
      <c r="F109" s="2">
        <v>2</v>
      </c>
      <c r="G109">
        <v>2</v>
      </c>
      <c r="H109" s="6">
        <v>5.6286498370094175E-2</v>
      </c>
      <c r="I109" s="6">
        <v>0.49371673160602014</v>
      </c>
      <c r="K109" s="6">
        <f t="shared" si="4"/>
        <v>0.11400565297230013</v>
      </c>
      <c r="L109" s="6">
        <f t="shared" si="3"/>
        <v>8.771494868267359</v>
      </c>
      <c r="M109" s="6">
        <v>1.5754716981132075</v>
      </c>
      <c r="N109" s="6">
        <v>0.6347305389221557</v>
      </c>
      <c r="Q109" s="12">
        <v>3.1300000000000001E-2</v>
      </c>
    </row>
    <row r="110" spans="1:17" x14ac:dyDescent="0.2">
      <c r="A110">
        <v>19</v>
      </c>
      <c r="B110" s="5">
        <v>45179</v>
      </c>
      <c r="C110" s="17">
        <v>1</v>
      </c>
      <c r="D110" s="2">
        <v>21</v>
      </c>
      <c r="E110" s="2" t="s">
        <v>123</v>
      </c>
      <c r="F110" s="2">
        <v>2</v>
      </c>
      <c r="G110">
        <v>10</v>
      </c>
      <c r="H110" s="6">
        <v>7.3818358518156296E-2</v>
      </c>
      <c r="I110" s="6">
        <v>0.7148655184287247</v>
      </c>
      <c r="K110" s="6">
        <f t="shared" si="4"/>
        <v>0.10326188159195192</v>
      </c>
      <c r="L110" s="6">
        <f t="shared" si="3"/>
        <v>9.6841156153979906</v>
      </c>
      <c r="M110" s="6">
        <v>1.5263157894736843</v>
      </c>
      <c r="N110" s="6">
        <v>0.65517241379310343</v>
      </c>
      <c r="Q110" s="12">
        <v>3.1399999999999997E-2</v>
      </c>
    </row>
    <row r="111" spans="1:17" x14ac:dyDescent="0.2">
      <c r="A111">
        <v>19</v>
      </c>
      <c r="B111" s="5">
        <v>45179</v>
      </c>
      <c r="C111" s="17">
        <v>1</v>
      </c>
      <c r="D111" s="2">
        <v>20</v>
      </c>
      <c r="E111" s="2" t="s">
        <v>124</v>
      </c>
      <c r="F111" s="2">
        <v>2</v>
      </c>
      <c r="G111">
        <v>19</v>
      </c>
      <c r="H111" s="6">
        <v>9.7809325036557079E-2</v>
      </c>
      <c r="I111" s="6">
        <v>0.81540358511246314</v>
      </c>
      <c r="K111" s="6">
        <f t="shared" si="4"/>
        <v>0.11995204193646868</v>
      </c>
      <c r="L111" s="6">
        <f t="shared" si="3"/>
        <v>8.336665085948594</v>
      </c>
      <c r="M111" s="6">
        <v>1.6022727272727271</v>
      </c>
      <c r="N111" s="6">
        <v>0.62411347517730498</v>
      </c>
      <c r="P111">
        <v>20</v>
      </c>
      <c r="Q111" s="13">
        <v>3.2099999999999997E-2</v>
      </c>
    </row>
    <row r="112" spans="1:17" x14ac:dyDescent="0.2">
      <c r="A112">
        <v>19</v>
      </c>
      <c r="B112" s="5">
        <v>45179</v>
      </c>
      <c r="C112" s="17">
        <v>1</v>
      </c>
      <c r="D112" s="2">
        <v>19</v>
      </c>
      <c r="E112" s="2" t="s">
        <v>125</v>
      </c>
      <c r="F112" s="2">
        <v>2</v>
      </c>
      <c r="G112">
        <v>30</v>
      </c>
      <c r="H112" s="6">
        <v>9.5963866073603202E-2</v>
      </c>
      <c r="I112" s="6">
        <v>0.88470227039324223</v>
      </c>
      <c r="K112" s="6">
        <f t="shared" si="4"/>
        <v>0.10847023827682518</v>
      </c>
      <c r="L112" s="6">
        <f t="shared" si="3"/>
        <v>9.2191186807197365</v>
      </c>
      <c r="M112" s="6">
        <v>1.5502645502645505</v>
      </c>
      <c r="N112" s="6">
        <v>0.64505119453924908</v>
      </c>
      <c r="Q112" s="12">
        <v>3.1699999999999999E-2</v>
      </c>
    </row>
    <row r="113" spans="1:17" x14ac:dyDescent="0.2">
      <c r="A113">
        <v>19</v>
      </c>
      <c r="B113" s="5">
        <v>45179</v>
      </c>
      <c r="C113" s="17">
        <v>1</v>
      </c>
      <c r="D113" s="2">
        <v>17</v>
      </c>
      <c r="E113" s="2" t="s">
        <v>126</v>
      </c>
      <c r="F113" s="2">
        <v>2</v>
      </c>
      <c r="G113">
        <v>40</v>
      </c>
      <c r="H113" s="6">
        <v>6.0807872829331248E-2</v>
      </c>
      <c r="I113" s="6">
        <v>0.45339326010116815</v>
      </c>
      <c r="K113" s="6">
        <f t="shared" si="4"/>
        <v>0.13411728444256726</v>
      </c>
      <c r="L113" s="6">
        <f t="shared" si="3"/>
        <v>7.4561605102303403</v>
      </c>
      <c r="M113" s="6">
        <v>1.6649848637739657</v>
      </c>
      <c r="N113" s="6">
        <v>0.60060606060606059</v>
      </c>
      <c r="Q113" s="12">
        <v>2.5700000000000001E-2</v>
      </c>
    </row>
    <row r="114" spans="1:17" x14ac:dyDescent="0.2">
      <c r="A114">
        <v>19</v>
      </c>
      <c r="B114" s="5">
        <v>45179</v>
      </c>
      <c r="C114" s="17">
        <v>1</v>
      </c>
      <c r="D114" s="2">
        <v>16</v>
      </c>
      <c r="E114" s="2" t="s">
        <v>127</v>
      </c>
      <c r="F114" s="2">
        <v>2</v>
      </c>
      <c r="G114">
        <v>55</v>
      </c>
      <c r="H114" s="6">
        <v>1.4394579911040473E-2</v>
      </c>
      <c r="I114" s="6">
        <v>0.19263493778751581</v>
      </c>
      <c r="K114" s="6">
        <f t="shared" si="4"/>
        <v>7.4724658342705627E-2</v>
      </c>
      <c r="L114" s="6">
        <f t="shared" si="3"/>
        <v>13.382463328420378</v>
      </c>
      <c r="M114" s="6">
        <v>1.3909774436090225</v>
      </c>
      <c r="N114" s="6">
        <v>0.71891891891891901</v>
      </c>
      <c r="Q114" s="12">
        <v>2.12E-2</v>
      </c>
    </row>
    <row r="115" spans="1:17" x14ac:dyDescent="0.2">
      <c r="A115">
        <v>20</v>
      </c>
      <c r="B115" s="5">
        <v>45179</v>
      </c>
      <c r="C115" s="17">
        <v>1</v>
      </c>
      <c r="D115" s="2">
        <v>24</v>
      </c>
      <c r="E115" s="2" t="s">
        <v>128</v>
      </c>
      <c r="F115" s="2">
        <v>2</v>
      </c>
      <c r="G115">
        <v>6</v>
      </c>
      <c r="H115" s="6">
        <v>8.1200194369971931E-2</v>
      </c>
      <c r="I115" s="6">
        <v>0.63484174654232794</v>
      </c>
      <c r="K115" s="6">
        <f t="shared" si="4"/>
        <v>0.12790619837499601</v>
      </c>
      <c r="L115" s="6">
        <f t="shared" si="3"/>
        <v>7.8182293954839874</v>
      </c>
      <c r="M115" s="6">
        <v>1.6376811594202898</v>
      </c>
      <c r="N115" s="6">
        <v>0.61061946902654862</v>
      </c>
      <c r="Q115" s="12">
        <v>3.1E-2</v>
      </c>
    </row>
    <row r="116" spans="1:17" x14ac:dyDescent="0.2">
      <c r="A116">
        <v>20</v>
      </c>
      <c r="B116" s="5">
        <v>45179</v>
      </c>
      <c r="C116" s="17">
        <v>1</v>
      </c>
      <c r="D116" s="2">
        <v>21</v>
      </c>
      <c r="E116" s="2" t="s">
        <v>129</v>
      </c>
      <c r="F116" s="2">
        <v>2</v>
      </c>
      <c r="G116">
        <v>10</v>
      </c>
      <c r="H116" s="6">
        <v>8.9504759703264505E-2</v>
      </c>
      <c r="I116" s="6">
        <v>0.74587750469441871</v>
      </c>
      <c r="K116" s="6">
        <f t="shared" si="4"/>
        <v>0.11999927486743824</v>
      </c>
      <c r="L116" s="6">
        <f t="shared" si="3"/>
        <v>8.3333836900655278</v>
      </c>
      <c r="M116" s="6">
        <v>1.6024844720496894</v>
      </c>
      <c r="N116" s="6">
        <v>0.62403100775193798</v>
      </c>
      <c r="Q116" s="12">
        <v>3.15E-2</v>
      </c>
    </row>
    <row r="117" spans="1:17" x14ac:dyDescent="0.2">
      <c r="A117">
        <v>20</v>
      </c>
      <c r="B117" s="5">
        <v>45179</v>
      </c>
      <c r="C117" s="17">
        <v>1</v>
      </c>
      <c r="D117" s="2">
        <v>20</v>
      </c>
      <c r="E117" s="2" t="s">
        <v>130</v>
      </c>
      <c r="F117" s="2">
        <v>2</v>
      </c>
      <c r="G117">
        <v>20</v>
      </c>
      <c r="H117" s="14">
        <v>0.11441845570314228</v>
      </c>
      <c r="I117" s="6">
        <v>1.0374751014166443</v>
      </c>
      <c r="K117" s="6">
        <f t="shared" si="4"/>
        <v>0.11028549557180405</v>
      </c>
      <c r="L117" s="6">
        <f t="shared" si="3"/>
        <v>9.0673754949845211</v>
      </c>
      <c r="M117" s="6">
        <v>1.5585585585585586</v>
      </c>
      <c r="N117" s="6">
        <v>0.64161849710982655</v>
      </c>
      <c r="P117">
        <v>20</v>
      </c>
      <c r="Q117" s="12">
        <v>3.4200000000000001E-2</v>
      </c>
    </row>
    <row r="118" spans="1:17" x14ac:dyDescent="0.2">
      <c r="A118">
        <v>20</v>
      </c>
      <c r="B118" s="5">
        <v>45179</v>
      </c>
      <c r="C118" s="17">
        <v>1</v>
      </c>
      <c r="D118" s="2">
        <v>19</v>
      </c>
      <c r="E118" s="2" t="s">
        <v>131</v>
      </c>
      <c r="F118" s="2">
        <v>2</v>
      </c>
      <c r="G118">
        <v>30</v>
      </c>
      <c r="H118" s="14">
        <v>0.10611389036984964</v>
      </c>
      <c r="I118" s="6">
        <v>1.2844603137207036</v>
      </c>
      <c r="K118" s="6">
        <f t="shared" si="4"/>
        <v>8.261359984137534E-2</v>
      </c>
      <c r="L118" s="6">
        <f t="shared" si="3"/>
        <v>12.104544553440101</v>
      </c>
      <c r="M118" s="6">
        <v>1.4291044776119401</v>
      </c>
      <c r="N118" s="6">
        <v>0.69973890339425593</v>
      </c>
      <c r="Q118" s="13">
        <v>3.5700000000000003E-2</v>
      </c>
    </row>
    <row r="119" spans="1:17" x14ac:dyDescent="0.2">
      <c r="A119">
        <v>20</v>
      </c>
      <c r="B119" s="5">
        <v>45179</v>
      </c>
      <c r="C119" s="17">
        <v>1</v>
      </c>
      <c r="D119" s="2">
        <v>18</v>
      </c>
      <c r="E119" s="2" t="s">
        <v>132</v>
      </c>
      <c r="F119" s="2">
        <v>2</v>
      </c>
      <c r="G119">
        <v>40</v>
      </c>
      <c r="H119" s="6">
        <v>6.5513793184863722E-2</v>
      </c>
      <c r="I119" s="6">
        <v>0.66090556716094762</v>
      </c>
      <c r="K119" s="6">
        <f t="shared" si="4"/>
        <v>9.912731325035036E-2</v>
      </c>
      <c r="L119" s="6">
        <f t="shared" si="3"/>
        <v>10.088036961865962</v>
      </c>
      <c r="M119" s="6">
        <v>1.5071428571428573</v>
      </c>
      <c r="N119" s="6">
        <v>0.6635071090047393</v>
      </c>
      <c r="Q119" s="12">
        <v>2.9600000000000001E-2</v>
      </c>
    </row>
    <row r="120" spans="1:17" x14ac:dyDescent="0.2">
      <c r="A120">
        <v>20</v>
      </c>
      <c r="B120" s="5">
        <v>45179</v>
      </c>
      <c r="C120" s="17">
        <v>1</v>
      </c>
      <c r="D120" s="2">
        <v>16</v>
      </c>
      <c r="E120" s="2" t="s">
        <v>133</v>
      </c>
      <c r="F120" s="2">
        <v>2</v>
      </c>
      <c r="G120">
        <v>55</v>
      </c>
      <c r="H120" s="6">
        <v>9.0981126873627624E-2</v>
      </c>
      <c r="I120" s="6">
        <v>0.32619113435353836</v>
      </c>
      <c r="K120" s="6">
        <f t="shared" si="4"/>
        <v>0.27891968018670554</v>
      </c>
      <c r="L120" s="6">
        <f t="shared" si="3"/>
        <v>3.5852615323902985</v>
      </c>
      <c r="M120" s="6">
        <v>2.2263681592039801</v>
      </c>
      <c r="N120" s="6">
        <v>0.44916201117318433</v>
      </c>
      <c r="Q120" s="12">
        <v>2.3099999999999999E-2</v>
      </c>
    </row>
    <row r="121" spans="1:17" x14ac:dyDescent="0.2">
      <c r="A121">
        <v>21</v>
      </c>
      <c r="B121" s="5">
        <v>45179</v>
      </c>
      <c r="C121" s="17">
        <v>2</v>
      </c>
      <c r="D121" s="2">
        <v>24</v>
      </c>
      <c r="E121" s="2" t="s">
        <v>134</v>
      </c>
      <c r="F121" s="2">
        <v>2</v>
      </c>
      <c r="G121">
        <v>3</v>
      </c>
      <c r="H121" s="6">
        <v>0.12549120948086573</v>
      </c>
      <c r="I121" s="6">
        <v>1.0160249282054095</v>
      </c>
      <c r="K121" s="6">
        <f t="shared" si="4"/>
        <v>0.12351193951758555</v>
      </c>
      <c r="L121" s="6">
        <f t="shared" ref="L121:L175" si="6">I121/H121</f>
        <v>8.0963832638837374</v>
      </c>
      <c r="M121" s="6">
        <v>1.6181818181818182</v>
      </c>
      <c r="N121" s="6">
        <v>0.6179775280898876</v>
      </c>
      <c r="Q121" s="12">
        <v>3.4799999999999998E-2</v>
      </c>
    </row>
    <row r="122" spans="1:17" x14ac:dyDescent="0.2">
      <c r="A122">
        <v>21</v>
      </c>
      <c r="B122" s="5">
        <v>45179</v>
      </c>
      <c r="C122" s="17">
        <v>2</v>
      </c>
      <c r="D122" s="2">
        <v>22</v>
      </c>
      <c r="E122" s="2" t="s">
        <v>135</v>
      </c>
      <c r="F122" s="2">
        <v>2</v>
      </c>
      <c r="G122">
        <v>10</v>
      </c>
      <c r="H122" s="6">
        <v>0.15225036444369733</v>
      </c>
      <c r="I122" s="6">
        <v>1.3420980339819719</v>
      </c>
      <c r="K122" s="6">
        <f t="shared" si="4"/>
        <v>0.11344205906626227</v>
      </c>
      <c r="L122" s="6">
        <f t="shared" si="6"/>
        <v>8.815072718451745</v>
      </c>
      <c r="M122" s="6">
        <v>1.5729166666666665</v>
      </c>
      <c r="N122" s="6">
        <v>0.63576158940397354</v>
      </c>
      <c r="Q122" s="12">
        <v>4.1500000000000002E-2</v>
      </c>
    </row>
    <row r="123" spans="1:17" x14ac:dyDescent="0.2">
      <c r="A123">
        <v>21</v>
      </c>
      <c r="B123" s="5">
        <v>45179</v>
      </c>
      <c r="C123" s="17">
        <v>2</v>
      </c>
      <c r="D123" s="2">
        <v>21</v>
      </c>
      <c r="E123" s="2" t="s">
        <v>136</v>
      </c>
      <c r="F123" s="2">
        <v>2</v>
      </c>
      <c r="G123">
        <v>20</v>
      </c>
      <c r="H123" s="6">
        <v>0.24821423051730054</v>
      </c>
      <c r="I123" s="6">
        <v>2.0036857865547146</v>
      </c>
      <c r="K123" s="6">
        <f t="shared" si="4"/>
        <v>0.12387881981440735</v>
      </c>
      <c r="L123" s="6">
        <f t="shared" si="6"/>
        <v>8.0724049639654236</v>
      </c>
      <c r="M123" s="6">
        <v>1.6198156682027649</v>
      </c>
      <c r="N123" s="6">
        <v>0.61735419630156474</v>
      </c>
      <c r="P123">
        <v>20</v>
      </c>
      <c r="Q123" s="13">
        <v>5.0599999999999999E-2</v>
      </c>
    </row>
    <row r="124" spans="1:17" x14ac:dyDescent="0.2">
      <c r="A124">
        <v>21</v>
      </c>
      <c r="B124" s="5">
        <v>45179</v>
      </c>
      <c r="C124" s="17">
        <v>2</v>
      </c>
      <c r="D124" s="2">
        <v>20</v>
      </c>
      <c r="E124" s="2" t="s">
        <v>137</v>
      </c>
      <c r="F124" s="2">
        <v>2</v>
      </c>
      <c r="G124">
        <v>30</v>
      </c>
      <c r="H124" s="6">
        <v>9.0427489184741472E-2</v>
      </c>
      <c r="I124" s="6">
        <v>0.7293886460626744</v>
      </c>
      <c r="K124" s="6">
        <f t="shared" si="4"/>
        <v>0.12397710010003539</v>
      </c>
      <c r="L124" s="6">
        <f t="shared" si="6"/>
        <v>8.0660057316481346</v>
      </c>
      <c r="M124" s="6">
        <v>1.620253164556962</v>
      </c>
      <c r="N124" s="6">
        <v>0.6171875</v>
      </c>
      <c r="Q124" s="12">
        <v>3.5299999999999998E-2</v>
      </c>
    </row>
    <row r="125" spans="1:17" x14ac:dyDescent="0.2">
      <c r="A125">
        <v>21</v>
      </c>
      <c r="B125" s="5">
        <v>45179</v>
      </c>
      <c r="C125" s="17">
        <v>2</v>
      </c>
      <c r="D125" s="2">
        <v>18</v>
      </c>
      <c r="E125" s="2" t="s">
        <v>138</v>
      </c>
      <c r="F125" s="2">
        <v>2</v>
      </c>
      <c r="G125">
        <v>40</v>
      </c>
      <c r="H125" s="6">
        <v>2.5190514844320833E-2</v>
      </c>
      <c r="I125" s="6">
        <v>0.21452787406979695</v>
      </c>
      <c r="K125" s="6">
        <f t="shared" si="4"/>
        <v>0.11742303863098491</v>
      </c>
      <c r="L125" s="6">
        <f t="shared" si="6"/>
        <v>8.5162163376014508</v>
      </c>
      <c r="M125" s="6">
        <v>1.5909090909090908</v>
      </c>
      <c r="N125" s="6">
        <v>0.62857142857142867</v>
      </c>
      <c r="Q125" s="12">
        <v>2.4299999999999999E-2</v>
      </c>
    </row>
    <row r="126" spans="1:17" x14ac:dyDescent="0.2">
      <c r="A126">
        <v>21</v>
      </c>
      <c r="B126" s="5">
        <v>45179</v>
      </c>
      <c r="C126" s="17">
        <v>2</v>
      </c>
      <c r="D126" s="2">
        <v>17</v>
      </c>
      <c r="E126" s="2" t="s">
        <v>139</v>
      </c>
      <c r="F126" s="2">
        <v>2</v>
      </c>
      <c r="G126">
        <v>55</v>
      </c>
      <c r="H126" s="6">
        <v>1.1718664414757312E-2</v>
      </c>
      <c r="I126" s="6">
        <v>0.13667843348445843</v>
      </c>
      <c r="K126" s="6">
        <f t="shared" si="4"/>
        <v>8.5738942977348576E-2</v>
      </c>
      <c r="L126" s="6">
        <f t="shared" si="6"/>
        <v>11.663311504367282</v>
      </c>
      <c r="M126" s="6">
        <v>1.4440559440559442</v>
      </c>
      <c r="N126" s="6">
        <v>0.69249394673123488</v>
      </c>
      <c r="Q126" s="12">
        <v>2.1299999999999999E-2</v>
      </c>
    </row>
    <row r="127" spans="1:17" x14ac:dyDescent="0.2">
      <c r="A127">
        <v>22</v>
      </c>
      <c r="B127" s="5">
        <v>45181</v>
      </c>
      <c r="C127" s="17">
        <v>1</v>
      </c>
      <c r="D127" s="2">
        <v>24</v>
      </c>
      <c r="E127" s="2" t="s">
        <v>140</v>
      </c>
      <c r="F127" s="2">
        <v>2</v>
      </c>
      <c r="G127">
        <v>6</v>
      </c>
      <c r="H127" s="6">
        <v>0.11903210311052705</v>
      </c>
      <c r="I127" s="6">
        <v>0.79936951675524903</v>
      </c>
      <c r="K127" s="6">
        <f t="shared" si="4"/>
        <v>0.14890748347984889</v>
      </c>
      <c r="L127" s="6">
        <f t="shared" si="6"/>
        <v>6.7155792081821479</v>
      </c>
      <c r="M127" s="6">
        <v>1.728813559322034</v>
      </c>
      <c r="N127" s="6">
        <v>0.57843137254901955</v>
      </c>
      <c r="Q127" s="12">
        <v>3.6700000000000003E-2</v>
      </c>
    </row>
    <row r="128" spans="1:17" x14ac:dyDescent="0.2">
      <c r="A128">
        <v>22</v>
      </c>
      <c r="B128" s="5">
        <v>45181</v>
      </c>
      <c r="C128" s="17">
        <v>1</v>
      </c>
      <c r="D128" s="2">
        <v>21</v>
      </c>
      <c r="E128" s="2" t="s">
        <v>141</v>
      </c>
      <c r="F128" s="2">
        <v>2</v>
      </c>
      <c r="G128">
        <v>10</v>
      </c>
      <c r="H128" s="6">
        <v>0.12180029155495792</v>
      </c>
      <c r="I128" s="6">
        <v>0.86405455462864333</v>
      </c>
      <c r="K128" s="6">
        <f t="shared" si="4"/>
        <v>0.1409636589524208</v>
      </c>
      <c r="L128" s="6">
        <f t="shared" si="6"/>
        <v>7.0940269813621128</v>
      </c>
      <c r="M128" s="6">
        <v>1.6947368421052633</v>
      </c>
      <c r="N128" s="6">
        <v>0.59006211180124213</v>
      </c>
      <c r="Q128" s="12">
        <v>3.5700000000000003E-2</v>
      </c>
    </row>
    <row r="129" spans="1:17" x14ac:dyDescent="0.2">
      <c r="A129">
        <v>22</v>
      </c>
      <c r="B129" s="5">
        <v>45181</v>
      </c>
      <c r="C129" s="17">
        <v>1</v>
      </c>
      <c r="D129" s="2">
        <v>20</v>
      </c>
      <c r="E129" s="2" t="s">
        <v>142</v>
      </c>
      <c r="F129" s="2">
        <v>2</v>
      </c>
      <c r="G129">
        <v>20</v>
      </c>
      <c r="H129" s="6">
        <v>0.31649621214659507</v>
      </c>
      <c r="I129" s="6">
        <v>2.3556892919826398</v>
      </c>
      <c r="K129" s="6">
        <f t="shared" si="4"/>
        <v>0.13435397156312559</v>
      </c>
      <c r="L129" s="6">
        <f t="shared" si="6"/>
        <v>7.4430252292925676</v>
      </c>
      <c r="M129" s="6">
        <v>1.6660194174757281</v>
      </c>
      <c r="N129" s="6">
        <v>0.60023310023310028</v>
      </c>
      <c r="P129">
        <v>20</v>
      </c>
      <c r="Q129" s="13">
        <v>5.3600000000000002E-2</v>
      </c>
    </row>
    <row r="130" spans="1:17" x14ac:dyDescent="0.2">
      <c r="A130">
        <v>22</v>
      </c>
      <c r="B130" s="5">
        <v>45181</v>
      </c>
      <c r="C130" s="17">
        <v>1</v>
      </c>
      <c r="D130" s="2">
        <v>19</v>
      </c>
      <c r="E130" s="2" t="s">
        <v>143</v>
      </c>
      <c r="F130" s="2">
        <v>2</v>
      </c>
      <c r="G130">
        <v>30</v>
      </c>
      <c r="H130" s="6">
        <v>0.10334570192541881</v>
      </c>
      <c r="I130" s="6">
        <v>0.87213172482467094</v>
      </c>
      <c r="K130" s="6">
        <f t="shared" si="4"/>
        <v>0.11849781286903067</v>
      </c>
      <c r="L130" s="6">
        <f t="shared" si="6"/>
        <v>8.4389743218741664</v>
      </c>
      <c r="M130" s="6">
        <v>1.5957446808510638</v>
      </c>
      <c r="N130" s="6">
        <v>0.62666666666666671</v>
      </c>
      <c r="Q130" s="12">
        <v>3.2300000000000002E-2</v>
      </c>
    </row>
    <row r="131" spans="1:17" x14ac:dyDescent="0.2">
      <c r="A131">
        <v>22</v>
      </c>
      <c r="B131" s="5">
        <v>45181</v>
      </c>
      <c r="C131" s="17">
        <v>1</v>
      </c>
      <c r="D131" s="2">
        <v>17</v>
      </c>
      <c r="E131" s="2" t="s">
        <v>144</v>
      </c>
      <c r="F131" s="2">
        <v>2</v>
      </c>
      <c r="G131">
        <v>40</v>
      </c>
      <c r="H131" s="6">
        <v>5.7116954903423431E-2</v>
      </c>
      <c r="I131" s="6">
        <v>0.43114062944329701</v>
      </c>
      <c r="K131" s="6">
        <f t="shared" si="4"/>
        <v>0.13247871112767712</v>
      </c>
      <c r="L131" s="6">
        <f t="shared" si="6"/>
        <v>7.5483826154999667</v>
      </c>
      <c r="M131" s="6">
        <v>1.6578108395324123</v>
      </c>
      <c r="N131" s="6">
        <v>0.60320512820512828</v>
      </c>
      <c r="Q131" s="12">
        <v>2.9100000000000001E-2</v>
      </c>
    </row>
    <row r="132" spans="1:17" x14ac:dyDescent="0.2">
      <c r="A132">
        <v>22</v>
      </c>
      <c r="B132" s="5">
        <v>45181</v>
      </c>
      <c r="C132" s="17">
        <v>1</v>
      </c>
      <c r="D132" s="2">
        <v>16</v>
      </c>
      <c r="E132" s="2" t="s">
        <v>145</v>
      </c>
      <c r="F132" s="2">
        <v>2</v>
      </c>
      <c r="G132">
        <v>55</v>
      </c>
      <c r="H132" s="6">
        <v>9.5041136592126218E-3</v>
      </c>
      <c r="I132" s="6">
        <v>0.11139282274119744</v>
      </c>
      <c r="K132" s="6">
        <f t="shared" si="4"/>
        <v>8.5320700430528071E-2</v>
      </c>
      <c r="L132" s="6">
        <f t="shared" si="6"/>
        <v>11.720485122063018</v>
      </c>
      <c r="M132" s="6">
        <v>1.4420600858369097</v>
      </c>
      <c r="N132" s="6">
        <v>0.69345238095238104</v>
      </c>
      <c r="Q132" s="12">
        <v>2.1299999999999999E-2</v>
      </c>
    </row>
    <row r="133" spans="1:17" x14ac:dyDescent="0.2">
      <c r="A133">
        <v>23</v>
      </c>
      <c r="B133" s="5">
        <v>45181</v>
      </c>
      <c r="C133" s="17">
        <v>1</v>
      </c>
      <c r="D133" s="2">
        <v>24</v>
      </c>
      <c r="E133" s="2" t="s">
        <v>146</v>
      </c>
      <c r="F133" s="2">
        <v>2</v>
      </c>
      <c r="G133">
        <v>5</v>
      </c>
      <c r="H133" s="6">
        <v>0.16147765925846685</v>
      </c>
      <c r="I133" s="6">
        <v>1.3069271905834237</v>
      </c>
      <c r="K133" s="6">
        <f t="shared" ref="K133:K196" si="7">H133/I133</f>
        <v>0.12355520676433537</v>
      </c>
      <c r="L133" s="6">
        <f t="shared" si="6"/>
        <v>8.0935480275417522</v>
      </c>
      <c r="M133" s="6">
        <v>1.6183745583038869</v>
      </c>
      <c r="N133" s="6">
        <v>0.61790393013100442</v>
      </c>
      <c r="Q133" s="12">
        <v>4.0899999999999999E-2</v>
      </c>
    </row>
    <row r="134" spans="1:17" x14ac:dyDescent="0.2">
      <c r="A134">
        <v>23</v>
      </c>
      <c r="B134" s="5">
        <v>45181</v>
      </c>
      <c r="C134" s="17">
        <v>1</v>
      </c>
      <c r="D134" s="2">
        <v>21</v>
      </c>
      <c r="E134" s="2" t="s">
        <v>147</v>
      </c>
      <c r="F134" s="2">
        <v>2</v>
      </c>
      <c r="G134">
        <v>10</v>
      </c>
      <c r="H134" s="6">
        <v>0.20945959229526845</v>
      </c>
      <c r="I134" s="6">
        <v>1.7933823583724691</v>
      </c>
      <c r="K134" s="6">
        <f t="shared" si="7"/>
        <v>0.11679583626848949</v>
      </c>
      <c r="L134" s="6">
        <f t="shared" si="6"/>
        <v>8.5619490552831579</v>
      </c>
      <c r="M134" s="6">
        <v>1.588082901554404</v>
      </c>
      <c r="N134" s="6">
        <v>0.6296900489396412</v>
      </c>
      <c r="Q134" s="12">
        <v>4.5199999999999997E-2</v>
      </c>
    </row>
    <row r="135" spans="1:17" x14ac:dyDescent="0.2">
      <c r="A135">
        <v>23</v>
      </c>
      <c r="B135" s="5">
        <v>45181</v>
      </c>
      <c r="C135" s="17">
        <v>1</v>
      </c>
      <c r="D135" s="2">
        <v>20</v>
      </c>
      <c r="E135" s="2" t="s">
        <v>148</v>
      </c>
      <c r="F135" s="2">
        <v>2</v>
      </c>
      <c r="G135">
        <v>20</v>
      </c>
      <c r="H135" s="6">
        <v>0.21591869866560714</v>
      </c>
      <c r="I135" s="6">
        <v>1.6312619604994565</v>
      </c>
      <c r="K135" s="6">
        <f t="shared" si="7"/>
        <v>0.13236298270542493</v>
      </c>
      <c r="L135" s="6">
        <f t="shared" si="6"/>
        <v>7.5549823641063556</v>
      </c>
      <c r="M135" s="6">
        <v>1.6573033707865168</v>
      </c>
      <c r="N135" s="6">
        <v>0.60338983050847461</v>
      </c>
      <c r="P135">
        <v>20</v>
      </c>
      <c r="Q135" s="13">
        <v>4.6899999999999997E-2</v>
      </c>
    </row>
    <row r="136" spans="1:17" x14ac:dyDescent="0.2">
      <c r="A136">
        <v>23</v>
      </c>
      <c r="B136" s="5">
        <v>45181</v>
      </c>
      <c r="C136" s="17">
        <v>1</v>
      </c>
      <c r="D136" s="2">
        <v>19</v>
      </c>
      <c r="E136" s="2" t="s">
        <v>149</v>
      </c>
      <c r="F136" s="2">
        <v>2</v>
      </c>
      <c r="G136">
        <v>30</v>
      </c>
      <c r="H136" s="6">
        <v>0.11718664414757311</v>
      </c>
      <c r="I136" s="6">
        <v>0.84272465345224923</v>
      </c>
      <c r="K136" s="6">
        <f t="shared" si="7"/>
        <v>0.13905685999277959</v>
      </c>
      <c r="L136" s="6">
        <f t="shared" si="6"/>
        <v>7.1913028961816359</v>
      </c>
      <c r="M136" s="6">
        <v>1.6864864864864864</v>
      </c>
      <c r="N136" s="6">
        <v>0.59294871794871795</v>
      </c>
      <c r="Q136" s="12">
        <v>3.44E-2</v>
      </c>
    </row>
    <row r="137" spans="1:17" x14ac:dyDescent="0.2">
      <c r="A137">
        <v>23</v>
      </c>
      <c r="B137" s="5">
        <v>45181</v>
      </c>
      <c r="C137" s="17">
        <v>1</v>
      </c>
      <c r="D137" s="2">
        <v>18</v>
      </c>
      <c r="E137" s="2" t="s">
        <v>150</v>
      </c>
      <c r="F137" s="2">
        <v>2</v>
      </c>
      <c r="G137">
        <v>40</v>
      </c>
      <c r="H137" s="6">
        <v>8.0277464888494965E-2</v>
      </c>
      <c r="I137" s="6">
        <v>0.76548221894269985</v>
      </c>
      <c r="K137" s="6">
        <f t="shared" si="7"/>
        <v>0.10487175652411089</v>
      </c>
      <c r="L137" s="6">
        <f t="shared" si="6"/>
        <v>9.5354558094971136</v>
      </c>
      <c r="M137" s="6">
        <v>1.5337423312883436</v>
      </c>
      <c r="N137" s="6">
        <v>0.65200000000000002</v>
      </c>
      <c r="Q137" s="12">
        <v>3.1399999999999997E-2</v>
      </c>
    </row>
    <row r="138" spans="1:17" x14ac:dyDescent="0.2">
      <c r="A138">
        <v>23</v>
      </c>
      <c r="B138" s="5">
        <v>45181</v>
      </c>
      <c r="C138" s="17">
        <v>1</v>
      </c>
      <c r="D138" s="2">
        <v>16</v>
      </c>
      <c r="E138" s="2" t="s">
        <v>151</v>
      </c>
      <c r="F138" s="2">
        <v>2</v>
      </c>
      <c r="G138">
        <v>56</v>
      </c>
      <c r="H138" s="6">
        <v>1.1534118518461922E-2</v>
      </c>
      <c r="I138" s="6">
        <v>0.17837265711480024</v>
      </c>
      <c r="K138" s="6">
        <f t="shared" si="7"/>
        <v>6.466304143823226E-2</v>
      </c>
      <c r="L138" s="6">
        <f t="shared" si="6"/>
        <v>15.4647844852028</v>
      </c>
      <c r="M138" s="6">
        <v>1.3415300546448088</v>
      </c>
      <c r="N138" s="6">
        <v>0.74541751527494904</v>
      </c>
      <c r="Q138" s="12">
        <v>2.1499999999999998E-2</v>
      </c>
    </row>
    <row r="139" spans="1:17" x14ac:dyDescent="0.2">
      <c r="A139">
        <v>25</v>
      </c>
      <c r="B139" s="5">
        <v>45182</v>
      </c>
      <c r="C139" s="17">
        <v>1</v>
      </c>
      <c r="D139" s="2">
        <v>24</v>
      </c>
      <c r="E139" s="2" t="s">
        <v>152</v>
      </c>
      <c r="F139" s="2">
        <v>2</v>
      </c>
      <c r="G139">
        <v>2</v>
      </c>
      <c r="H139" s="6">
        <v>0.14579125807335866</v>
      </c>
      <c r="I139" s="6">
        <v>1.1773297196993695</v>
      </c>
      <c r="K139" s="6">
        <f t="shared" si="7"/>
        <v>0.12383213948815153</v>
      </c>
      <c r="L139" s="6">
        <f t="shared" si="6"/>
        <v>8.0754479744386689</v>
      </c>
      <c r="M139" s="6">
        <v>1.6196078431372547</v>
      </c>
      <c r="N139" s="6">
        <v>0.61743341404358354</v>
      </c>
      <c r="Q139" s="12">
        <v>4.1099999999999998E-2</v>
      </c>
    </row>
    <row r="140" spans="1:17" x14ac:dyDescent="0.2">
      <c r="A140">
        <v>25</v>
      </c>
      <c r="B140" s="5">
        <v>45182</v>
      </c>
      <c r="C140" s="17">
        <v>1</v>
      </c>
      <c r="D140" s="2">
        <v>20</v>
      </c>
      <c r="E140" s="2" t="s">
        <v>153</v>
      </c>
      <c r="F140" s="2">
        <v>2</v>
      </c>
      <c r="G140">
        <v>10</v>
      </c>
      <c r="H140" s="6">
        <v>0.24821423051730054</v>
      </c>
      <c r="I140" s="6">
        <v>1.9258551408033779</v>
      </c>
      <c r="K140" s="6">
        <f t="shared" si="7"/>
        <v>0.12888520286824739</v>
      </c>
      <c r="L140" s="6">
        <f t="shared" si="6"/>
        <v>7.7588425804182313</v>
      </c>
      <c r="M140" s="6">
        <v>1.6420047732696896</v>
      </c>
      <c r="N140" s="6">
        <v>0.60901162790697672</v>
      </c>
      <c r="P140">
        <v>10</v>
      </c>
      <c r="Q140" s="12">
        <v>4.0300000000000002E-2</v>
      </c>
    </row>
    <row r="141" spans="1:17" x14ac:dyDescent="0.2">
      <c r="A141">
        <v>25</v>
      </c>
      <c r="B141" s="5">
        <v>45182</v>
      </c>
      <c r="C141" s="17">
        <v>1</v>
      </c>
      <c r="D141" s="2">
        <v>20</v>
      </c>
      <c r="E141" s="2" t="s">
        <v>154</v>
      </c>
      <c r="F141" s="2">
        <v>2</v>
      </c>
      <c r="G141">
        <v>20</v>
      </c>
      <c r="H141" s="6">
        <v>0.24083239466548492</v>
      </c>
      <c r="I141" s="6">
        <v>1.6841789102509155</v>
      </c>
      <c r="K141" s="6">
        <f t="shared" si="7"/>
        <v>0.14299691867629716</v>
      </c>
      <c r="L141" s="6">
        <f t="shared" si="6"/>
        <v>6.9931576795980135</v>
      </c>
      <c r="M141" s="6">
        <v>1.7035040431266846</v>
      </c>
      <c r="N141" s="6">
        <v>0.58702531645569622</v>
      </c>
      <c r="Q141" s="13">
        <v>4.5100000000000001E-2</v>
      </c>
    </row>
    <row r="142" spans="1:17" x14ac:dyDescent="0.2">
      <c r="A142">
        <v>25</v>
      </c>
      <c r="B142" s="5">
        <v>45182</v>
      </c>
      <c r="C142" s="17">
        <v>1</v>
      </c>
      <c r="D142" s="2">
        <v>18</v>
      </c>
      <c r="E142" s="2" t="s">
        <v>155</v>
      </c>
      <c r="F142" s="2">
        <v>2</v>
      </c>
      <c r="G142">
        <v>29</v>
      </c>
      <c r="H142" s="6">
        <v>8.9504759703264505E-2</v>
      </c>
      <c r="I142" s="6">
        <v>0.66285814922632591</v>
      </c>
      <c r="K142" s="6">
        <f t="shared" si="7"/>
        <v>0.1350285273066833</v>
      </c>
      <c r="L142" s="6">
        <f t="shared" si="6"/>
        <v>7.4058424537857235</v>
      </c>
      <c r="M142" s="6">
        <v>1.6689655172413793</v>
      </c>
      <c r="N142" s="6">
        <v>0.59917355371900827</v>
      </c>
      <c r="Q142" s="12">
        <v>3.3000000000000002E-2</v>
      </c>
    </row>
    <row r="143" spans="1:17" x14ac:dyDescent="0.2">
      <c r="A143">
        <v>25</v>
      </c>
      <c r="B143" s="5">
        <v>45182</v>
      </c>
      <c r="C143" s="17">
        <v>1</v>
      </c>
      <c r="D143" s="2">
        <v>17</v>
      </c>
      <c r="E143" s="2" t="s">
        <v>156</v>
      </c>
      <c r="F143" s="2">
        <v>2</v>
      </c>
      <c r="G143">
        <v>40</v>
      </c>
      <c r="H143" s="6">
        <v>4.1799645510906008E-2</v>
      </c>
      <c r="I143" s="6">
        <v>0.37174051891453097</v>
      </c>
      <c r="K143" s="6">
        <f t="shared" si="7"/>
        <v>0.11244307086286821</v>
      </c>
      <c r="L143" s="6">
        <f t="shared" si="6"/>
        <v>8.8933892709099549</v>
      </c>
      <c r="M143" s="6">
        <v>1.5683814303638646</v>
      </c>
      <c r="N143" s="6">
        <v>0.63759999999999994</v>
      </c>
      <c r="Q143" s="12">
        <v>2.5600000000000001E-2</v>
      </c>
    </row>
    <row r="144" spans="1:17" x14ac:dyDescent="0.2">
      <c r="A144">
        <v>25</v>
      </c>
      <c r="B144" s="5">
        <v>45182</v>
      </c>
      <c r="C144" s="17">
        <v>1</v>
      </c>
      <c r="D144" s="2">
        <v>16</v>
      </c>
      <c r="E144" s="2" t="s">
        <v>157</v>
      </c>
      <c r="F144" s="2">
        <v>2</v>
      </c>
      <c r="G144">
        <v>55</v>
      </c>
      <c r="H144" s="6">
        <v>1.1257299674018832E-2</v>
      </c>
      <c r="I144" s="6">
        <v>0.15737576612054457</v>
      </c>
      <c r="K144" s="6">
        <f t="shared" si="7"/>
        <v>7.1531341524311412E-2</v>
      </c>
      <c r="L144" s="6">
        <f t="shared" si="6"/>
        <v>13.979886000881574</v>
      </c>
      <c r="M144" s="6">
        <v>1.3753846153846152</v>
      </c>
      <c r="N144" s="6">
        <v>0.72706935123042504</v>
      </c>
      <c r="Q144" s="12">
        <v>2.1000000000000001E-2</v>
      </c>
    </row>
    <row r="145" spans="1:17" x14ac:dyDescent="0.2">
      <c r="A145">
        <v>26</v>
      </c>
      <c r="B145" s="5">
        <v>45183</v>
      </c>
      <c r="C145" s="17">
        <v>1</v>
      </c>
      <c r="D145" s="2">
        <v>24</v>
      </c>
      <c r="E145" s="2" t="s">
        <v>158</v>
      </c>
      <c r="F145" s="2">
        <v>2</v>
      </c>
      <c r="G145">
        <v>2</v>
      </c>
      <c r="H145" s="6">
        <v>0.33033715436874939</v>
      </c>
      <c r="I145" s="6">
        <v>2.5078870606966714</v>
      </c>
      <c r="K145" s="6">
        <f t="shared" si="7"/>
        <v>0.13171931046886309</v>
      </c>
      <c r="L145" s="6">
        <f t="shared" si="6"/>
        <v>7.5919012667196455</v>
      </c>
      <c r="M145" s="6">
        <v>1.6544789762340035</v>
      </c>
      <c r="N145" s="6">
        <v>0.60441988950276249</v>
      </c>
      <c r="Q145" s="12">
        <v>5.2600000000000001E-2</v>
      </c>
    </row>
    <row r="146" spans="1:17" x14ac:dyDescent="0.2">
      <c r="A146">
        <v>26</v>
      </c>
      <c r="B146" s="5">
        <v>45183</v>
      </c>
      <c r="C146" s="17">
        <v>1</v>
      </c>
      <c r="D146" s="2">
        <v>22</v>
      </c>
      <c r="E146" s="2" t="s">
        <v>159</v>
      </c>
      <c r="F146" s="2">
        <v>2</v>
      </c>
      <c r="G146">
        <v>10</v>
      </c>
      <c r="H146" s="6">
        <v>0.36263268622044276</v>
      </c>
      <c r="I146" s="6">
        <v>2.4288931413941754</v>
      </c>
      <c r="K146" s="6">
        <f t="shared" si="7"/>
        <v>0.14929956367380287</v>
      </c>
      <c r="L146" s="6">
        <f t="shared" si="6"/>
        <v>6.6979432182725587</v>
      </c>
      <c r="M146" s="6">
        <v>1.7304832713754648</v>
      </c>
      <c r="N146" s="6">
        <v>0.57787325456498384</v>
      </c>
      <c r="Q146" s="12">
        <v>5.2600000000000001E-2</v>
      </c>
    </row>
    <row r="147" spans="1:17" x14ac:dyDescent="0.2">
      <c r="A147">
        <v>26</v>
      </c>
      <c r="B147" s="5">
        <v>45183</v>
      </c>
      <c r="C147" s="17">
        <v>1</v>
      </c>
      <c r="D147" s="2">
        <v>21</v>
      </c>
      <c r="E147" s="2" t="s">
        <v>160</v>
      </c>
      <c r="F147" s="2">
        <v>2</v>
      </c>
      <c r="G147">
        <v>20</v>
      </c>
      <c r="H147" s="6">
        <v>0.41430553718315222</v>
      </c>
      <c r="I147" s="6">
        <v>2.7559960997546393</v>
      </c>
      <c r="K147" s="6">
        <f t="shared" si="7"/>
        <v>0.15032878211258607</v>
      </c>
      <c r="L147" s="6">
        <f t="shared" si="6"/>
        <v>6.6520860872209271</v>
      </c>
      <c r="M147" s="6">
        <v>1.7348608837970541</v>
      </c>
      <c r="N147" s="6">
        <v>0.57641509433962268</v>
      </c>
      <c r="P147">
        <v>20</v>
      </c>
      <c r="Q147" s="13">
        <v>5.3699999999999998E-2</v>
      </c>
    </row>
    <row r="148" spans="1:17" x14ac:dyDescent="0.2">
      <c r="A148">
        <v>26</v>
      </c>
      <c r="B148" s="5">
        <v>45183</v>
      </c>
      <c r="C148" s="17">
        <v>1</v>
      </c>
      <c r="D148" s="2">
        <v>20</v>
      </c>
      <c r="E148" s="2" t="s">
        <v>161</v>
      </c>
      <c r="F148" s="2">
        <v>2</v>
      </c>
      <c r="G148">
        <v>30</v>
      </c>
      <c r="H148" s="6">
        <v>9.5963866073603202E-2</v>
      </c>
      <c r="I148" s="6">
        <v>0.87432485095973056</v>
      </c>
      <c r="K148" s="6">
        <f t="shared" si="7"/>
        <v>0.10975767870290476</v>
      </c>
      <c r="L148" s="6">
        <f t="shared" si="6"/>
        <v>9.1109798587015369</v>
      </c>
      <c r="M148" s="6">
        <v>1.5561497326203211</v>
      </c>
      <c r="N148" s="6">
        <v>0.64261168384879719</v>
      </c>
      <c r="Q148" s="12">
        <v>3.8399999999999997E-2</v>
      </c>
    </row>
    <row r="149" spans="1:17" x14ac:dyDescent="0.2">
      <c r="A149">
        <v>26</v>
      </c>
      <c r="B149" s="5">
        <v>45183</v>
      </c>
      <c r="C149" s="17">
        <v>1</v>
      </c>
      <c r="D149" s="2">
        <v>19</v>
      </c>
      <c r="E149" s="2" t="s">
        <v>162</v>
      </c>
      <c r="F149" s="2">
        <v>2</v>
      </c>
      <c r="G149">
        <v>40</v>
      </c>
      <c r="H149" s="6">
        <v>2.4452331259139277E-2</v>
      </c>
      <c r="I149" s="6">
        <v>0.27286073551096784</v>
      </c>
      <c r="K149" s="6">
        <f t="shared" si="7"/>
        <v>8.9614693786370728E-2</v>
      </c>
      <c r="L149" s="6">
        <f t="shared" si="6"/>
        <v>11.158884305110323</v>
      </c>
      <c r="M149" s="6">
        <v>1.462478184991274</v>
      </c>
      <c r="N149" s="6">
        <v>0.68377088305489264</v>
      </c>
      <c r="Q149" s="12">
        <v>2.5600000000000001E-2</v>
      </c>
    </row>
    <row r="150" spans="1:17" x14ac:dyDescent="0.2">
      <c r="A150">
        <v>26</v>
      </c>
      <c r="B150" s="5">
        <v>45183</v>
      </c>
      <c r="C150" s="17">
        <v>1</v>
      </c>
      <c r="D150" s="2">
        <v>18</v>
      </c>
      <c r="E150" s="2" t="s">
        <v>163</v>
      </c>
      <c r="F150" s="2">
        <v>2</v>
      </c>
      <c r="G150">
        <v>55</v>
      </c>
      <c r="H150" s="6">
        <v>1.19954832592004E-2</v>
      </c>
      <c r="I150" s="6">
        <v>0.15144887281860719</v>
      </c>
      <c r="K150" s="6">
        <f t="shared" si="7"/>
        <v>7.9204836826798894E-2</v>
      </c>
      <c r="L150" s="6">
        <f t="shared" si="6"/>
        <v>12.625491574292983</v>
      </c>
      <c r="M150" s="6">
        <v>1.4126984126984128</v>
      </c>
      <c r="N150" s="6">
        <v>0.7078651685393258</v>
      </c>
      <c r="Q150" s="12">
        <v>2.0899999999999998E-2</v>
      </c>
    </row>
    <row r="151" spans="1:17" x14ac:dyDescent="0.2">
      <c r="A151">
        <v>27</v>
      </c>
      <c r="B151" s="5">
        <v>45183</v>
      </c>
      <c r="C151" s="17">
        <v>1</v>
      </c>
      <c r="D151" s="2">
        <v>24</v>
      </c>
      <c r="E151" s="2" t="s">
        <v>164</v>
      </c>
      <c r="F151" s="2">
        <v>2</v>
      </c>
      <c r="G151">
        <v>2</v>
      </c>
      <c r="H151" s="6">
        <v>0.30542345836887175</v>
      </c>
      <c r="I151" s="6">
        <v>2.460158820661968</v>
      </c>
      <c r="K151" s="6">
        <f t="shared" si="7"/>
        <v>0.12414786224520652</v>
      </c>
      <c r="L151" s="6">
        <f t="shared" si="6"/>
        <v>8.0549111512277456</v>
      </c>
      <c r="M151" s="6">
        <v>1.6210131332082554</v>
      </c>
      <c r="N151" s="6">
        <v>0.61689814814814803</v>
      </c>
      <c r="Q151" s="12">
        <v>5.4600000000000003E-2</v>
      </c>
    </row>
    <row r="152" spans="1:17" x14ac:dyDescent="0.2">
      <c r="A152">
        <v>27</v>
      </c>
      <c r="B152" s="5">
        <v>45183</v>
      </c>
      <c r="C152" s="17">
        <v>1</v>
      </c>
      <c r="D152" s="2">
        <v>21</v>
      </c>
      <c r="E152" s="2" t="s">
        <v>165</v>
      </c>
      <c r="F152" s="2">
        <v>2</v>
      </c>
      <c r="G152">
        <v>10</v>
      </c>
      <c r="H152" s="6">
        <v>0.39677367703509009</v>
      </c>
      <c r="I152" s="6">
        <v>2.9758876388561775</v>
      </c>
      <c r="K152" s="6">
        <f t="shared" si="7"/>
        <v>0.13332952220857217</v>
      </c>
      <c r="L152" s="6">
        <f t="shared" si="6"/>
        <v>7.5002143818955869</v>
      </c>
      <c r="M152" s="6">
        <v>1.6615384615384616</v>
      </c>
      <c r="N152" s="6">
        <v>0.60185185185185186</v>
      </c>
      <c r="Q152" s="12">
        <v>5.67E-2</v>
      </c>
    </row>
    <row r="153" spans="1:17" x14ac:dyDescent="0.2">
      <c r="A153">
        <v>27</v>
      </c>
      <c r="B153" s="5">
        <v>45183</v>
      </c>
      <c r="C153" s="17">
        <v>1</v>
      </c>
      <c r="D153" s="2">
        <v>20</v>
      </c>
      <c r="E153" s="2" t="s">
        <v>166</v>
      </c>
      <c r="F153" s="2">
        <v>2</v>
      </c>
      <c r="G153">
        <v>20</v>
      </c>
      <c r="H153" s="6">
        <v>0.42630102044235263</v>
      </c>
      <c r="I153" s="6">
        <v>3.0397570703505195</v>
      </c>
      <c r="K153" s="6">
        <f t="shared" si="7"/>
        <v>0.14024180570232053</v>
      </c>
      <c r="L153" s="6">
        <f t="shared" si="6"/>
        <v>7.1305413887968312</v>
      </c>
      <c r="M153" s="6">
        <v>1.691616766467066</v>
      </c>
      <c r="N153" s="6">
        <v>0.59115044247787607</v>
      </c>
      <c r="P153">
        <v>20</v>
      </c>
      <c r="Q153" s="13">
        <v>6.13E-2</v>
      </c>
    </row>
    <row r="154" spans="1:17" x14ac:dyDescent="0.2">
      <c r="A154">
        <v>27</v>
      </c>
      <c r="B154" s="5">
        <v>45183</v>
      </c>
      <c r="C154" s="17">
        <v>1</v>
      </c>
      <c r="D154" s="2">
        <v>19</v>
      </c>
      <c r="E154" s="2" t="s">
        <v>167</v>
      </c>
      <c r="F154" s="2">
        <v>2</v>
      </c>
      <c r="G154">
        <v>30</v>
      </c>
      <c r="H154" s="6">
        <v>0.19561865007311419</v>
      </c>
      <c r="I154" s="6">
        <v>1.2987297483525553</v>
      </c>
      <c r="K154" s="6">
        <f t="shared" si="7"/>
        <v>0.1506230609726599</v>
      </c>
      <c r="L154" s="6">
        <f t="shared" si="6"/>
        <v>6.6390896157761219</v>
      </c>
      <c r="M154" s="6">
        <v>1.7361111111111112</v>
      </c>
      <c r="N154" s="6">
        <v>0.57600000000000007</v>
      </c>
      <c r="Q154" s="12">
        <v>4.7699999999999999E-2</v>
      </c>
    </row>
    <row r="155" spans="1:17" x14ac:dyDescent="0.2">
      <c r="A155">
        <v>27</v>
      </c>
      <c r="B155" s="5">
        <v>45183</v>
      </c>
      <c r="C155" s="17">
        <v>1</v>
      </c>
      <c r="D155" s="2">
        <v>17</v>
      </c>
      <c r="E155" s="2" t="s">
        <v>168</v>
      </c>
      <c r="F155" s="2">
        <v>2</v>
      </c>
      <c r="G155">
        <v>40</v>
      </c>
      <c r="H155" s="6">
        <v>5.8131957333048073E-2</v>
      </c>
      <c r="I155" s="6">
        <v>0.49187127264306624</v>
      </c>
      <c r="K155" s="6">
        <f t="shared" si="7"/>
        <v>0.11818530694154281</v>
      </c>
      <c r="L155" s="6">
        <f t="shared" si="6"/>
        <v>8.4612886819731585</v>
      </c>
      <c r="M155" s="6">
        <v>1.5943396226415094</v>
      </c>
      <c r="N155" s="6">
        <v>0.62721893491124259</v>
      </c>
      <c r="Q155" s="12">
        <v>2.8899999999999999E-2</v>
      </c>
    </row>
    <row r="156" spans="1:17" x14ac:dyDescent="0.2">
      <c r="A156">
        <v>27</v>
      </c>
      <c r="B156" s="5">
        <v>45183</v>
      </c>
      <c r="C156" s="17">
        <v>1</v>
      </c>
      <c r="D156" s="2">
        <v>16</v>
      </c>
      <c r="E156" s="2" t="s">
        <v>169</v>
      </c>
      <c r="F156" s="2">
        <v>2</v>
      </c>
      <c r="G156">
        <v>55</v>
      </c>
      <c r="H156" s="6">
        <v>1.5409582340665126E-2</v>
      </c>
      <c r="I156" s="6">
        <v>0.17916703203767725</v>
      </c>
      <c r="K156" s="6">
        <f t="shared" si="7"/>
        <v>8.6006795811768691E-2</v>
      </c>
      <c r="L156" s="6">
        <f t="shared" si="6"/>
        <v>11.626988199729743</v>
      </c>
      <c r="M156" s="6">
        <v>1.4453333333333334</v>
      </c>
      <c r="N156" s="6">
        <v>0.69188191881918815</v>
      </c>
      <c r="Q156" s="12">
        <v>2.0899999999999998E-2</v>
      </c>
    </row>
    <row r="157" spans="1:17" x14ac:dyDescent="0.2">
      <c r="A157">
        <v>30</v>
      </c>
      <c r="B157" s="5">
        <v>45185</v>
      </c>
      <c r="C157" s="17">
        <v>1</v>
      </c>
      <c r="D157" s="2">
        <v>24</v>
      </c>
      <c r="E157" s="2" t="s">
        <v>170</v>
      </c>
      <c r="F157" s="2">
        <v>2</v>
      </c>
      <c r="G157">
        <v>2</v>
      </c>
      <c r="H157" s="6">
        <v>0.25375060740616229</v>
      </c>
      <c r="I157" s="6">
        <v>2.1589994108852828</v>
      </c>
      <c r="K157" s="6">
        <f t="shared" si="7"/>
        <v>0.11753157788130827</v>
      </c>
      <c r="L157" s="6">
        <f t="shared" si="6"/>
        <v>8.5083516960001244</v>
      </c>
      <c r="M157" s="6">
        <v>1.5913978494623655</v>
      </c>
      <c r="N157" s="6">
        <v>0.6283783783783784</v>
      </c>
      <c r="Q157" s="12">
        <v>5.0500000000000003E-2</v>
      </c>
    </row>
    <row r="158" spans="1:17" x14ac:dyDescent="0.2">
      <c r="A158">
        <v>30</v>
      </c>
      <c r="B158" s="5">
        <v>45185</v>
      </c>
      <c r="C158" s="17">
        <v>1</v>
      </c>
      <c r="D158" s="2">
        <v>20</v>
      </c>
      <c r="E158" s="2" t="s">
        <v>171</v>
      </c>
      <c r="F158" s="2">
        <v>2</v>
      </c>
      <c r="G158">
        <v>20</v>
      </c>
      <c r="H158" s="6">
        <v>0.30080981096148685</v>
      </c>
      <c r="I158" s="6">
        <v>2.5270369846704224</v>
      </c>
      <c r="K158" s="6">
        <f t="shared" si="7"/>
        <v>0.11903656843420463</v>
      </c>
      <c r="L158" s="6">
        <f t="shared" si="6"/>
        <v>8.4007798036679162</v>
      </c>
      <c r="M158" s="6">
        <v>1.5981651376146788</v>
      </c>
      <c r="N158" s="6">
        <v>0.62571756601607353</v>
      </c>
      <c r="P158">
        <v>20</v>
      </c>
      <c r="Q158" s="12">
        <v>5.0299999999999997E-2</v>
      </c>
    </row>
    <row r="159" spans="1:17" x14ac:dyDescent="0.2">
      <c r="A159">
        <v>30</v>
      </c>
      <c r="B159" s="5">
        <v>45185</v>
      </c>
      <c r="C159" s="17">
        <v>1</v>
      </c>
      <c r="D159" s="2">
        <v>19</v>
      </c>
      <c r="E159" s="2" t="s">
        <v>172</v>
      </c>
      <c r="F159" s="2">
        <v>2</v>
      </c>
      <c r="G159">
        <v>30</v>
      </c>
      <c r="H159" s="6">
        <v>0.27128246755422436</v>
      </c>
      <c r="I159" s="6">
        <v>1.8249562580151173</v>
      </c>
      <c r="K159" s="6">
        <f t="shared" si="7"/>
        <v>0.14865149033724245</v>
      </c>
      <c r="L159" s="6">
        <f t="shared" si="6"/>
        <v>6.7271441257085378</v>
      </c>
      <c r="M159" s="6">
        <v>1.7277227722772277</v>
      </c>
      <c r="N159" s="6">
        <v>0.57879656160458448</v>
      </c>
      <c r="Q159" s="13">
        <v>6.3399999999999998E-2</v>
      </c>
    </row>
    <row r="160" spans="1:17" x14ac:dyDescent="0.2">
      <c r="A160">
        <v>30</v>
      </c>
      <c r="B160" s="5">
        <v>45185</v>
      </c>
      <c r="C160" s="17">
        <v>1</v>
      </c>
      <c r="D160" s="2">
        <v>17</v>
      </c>
      <c r="E160" s="2" t="s">
        <v>173</v>
      </c>
      <c r="F160" s="2">
        <v>2</v>
      </c>
      <c r="G160">
        <v>40</v>
      </c>
      <c r="H160" s="6">
        <v>0.11349572622166532</v>
      </c>
      <c r="I160" s="6">
        <v>0.83603815194464559</v>
      </c>
      <c r="K160" s="6">
        <f t="shared" si="7"/>
        <v>0.1357542427431947</v>
      </c>
      <c r="L160" s="6">
        <f t="shared" si="6"/>
        <v>7.3662522790664644</v>
      </c>
      <c r="M160" s="6">
        <v>1.6721311475409837</v>
      </c>
      <c r="N160" s="6">
        <v>0.59803921568627449</v>
      </c>
      <c r="Q160" s="12">
        <v>3.9399999999999998E-2</v>
      </c>
    </row>
    <row r="161" spans="1:22" x14ac:dyDescent="0.2">
      <c r="A161">
        <v>30</v>
      </c>
      <c r="B161" s="5">
        <v>45185</v>
      </c>
      <c r="C161" s="17">
        <v>1</v>
      </c>
      <c r="D161" s="2">
        <v>16</v>
      </c>
      <c r="E161" s="2" t="s">
        <v>174</v>
      </c>
      <c r="F161" s="2">
        <v>2</v>
      </c>
      <c r="G161">
        <v>55</v>
      </c>
      <c r="H161" s="6">
        <v>2.8696886873933264E-2</v>
      </c>
      <c r="I161" s="6">
        <v>0.25460666366093321</v>
      </c>
      <c r="K161" s="6">
        <f t="shared" si="7"/>
        <v>0.11271066696097833</v>
      </c>
      <c r="L161" s="6">
        <f t="shared" si="6"/>
        <v>8.8722747097771233</v>
      </c>
      <c r="M161" s="6">
        <v>1.5695970695970696</v>
      </c>
      <c r="N161" s="6">
        <v>0.63710618436406063</v>
      </c>
      <c r="Q161" s="12">
        <v>2.4400000000000002E-2</v>
      </c>
    </row>
    <row r="162" spans="1:22" x14ac:dyDescent="0.2">
      <c r="A162">
        <v>31</v>
      </c>
      <c r="B162" s="5">
        <v>45186</v>
      </c>
      <c r="C162" s="17">
        <v>1</v>
      </c>
      <c r="D162" s="2">
        <v>24</v>
      </c>
      <c r="E162" s="2" t="s">
        <v>175</v>
      </c>
      <c r="F162" s="2">
        <v>2</v>
      </c>
      <c r="G162">
        <v>3</v>
      </c>
      <c r="H162" s="6">
        <v>0.31649621214659507</v>
      </c>
      <c r="I162" s="6">
        <v>2.3401231628323731</v>
      </c>
      <c r="K162" s="6">
        <f t="shared" si="7"/>
        <v>0.13524767293167733</v>
      </c>
      <c r="L162" s="6">
        <f t="shared" si="6"/>
        <v>7.3938425580539722</v>
      </c>
      <c r="M162" s="6">
        <v>1.669921875</v>
      </c>
      <c r="N162" s="6">
        <v>0.59883040935672516</v>
      </c>
      <c r="Q162" s="12">
        <v>5.7500000000000002E-2</v>
      </c>
    </row>
    <row r="163" spans="1:22" x14ac:dyDescent="0.2">
      <c r="A163">
        <v>31</v>
      </c>
      <c r="B163" s="5">
        <v>45186</v>
      </c>
      <c r="C163" s="17">
        <v>1</v>
      </c>
      <c r="D163" s="2">
        <v>21</v>
      </c>
      <c r="E163" s="2" t="s">
        <v>177</v>
      </c>
      <c r="F163" s="2">
        <v>2</v>
      </c>
      <c r="G163">
        <v>9</v>
      </c>
      <c r="H163" s="6">
        <v>0.38293273481293577</v>
      </c>
      <c r="I163" s="6">
        <v>2.6420850300556933</v>
      </c>
      <c r="K163" s="6">
        <f t="shared" si="7"/>
        <v>0.14493581033796774</v>
      </c>
      <c r="L163" s="6">
        <f t="shared" si="6"/>
        <v>6.8996060922980709</v>
      </c>
      <c r="M163" s="6">
        <v>1.711835334476844</v>
      </c>
      <c r="N163" s="6">
        <v>0.58416833667334667</v>
      </c>
      <c r="P163">
        <v>10</v>
      </c>
      <c r="Q163" s="13">
        <v>6.1800000000000001E-2</v>
      </c>
    </row>
    <row r="164" spans="1:22" x14ac:dyDescent="0.2">
      <c r="A164">
        <v>31</v>
      </c>
      <c r="B164" s="5">
        <v>45186</v>
      </c>
      <c r="C164" s="17">
        <v>1</v>
      </c>
      <c r="D164" s="2">
        <v>20</v>
      </c>
      <c r="E164" s="2" t="s">
        <v>176</v>
      </c>
      <c r="F164" s="2">
        <v>2</v>
      </c>
      <c r="G164">
        <v>19</v>
      </c>
      <c r="H164" s="6">
        <v>0.30726891733182554</v>
      </c>
      <c r="I164" s="6">
        <v>2.3752940062309214</v>
      </c>
      <c r="K164" s="6">
        <f t="shared" si="7"/>
        <v>0.12936037245317475</v>
      </c>
      <c r="L164" s="6">
        <f t="shared" si="6"/>
        <v>7.7303426160277589</v>
      </c>
      <c r="M164" s="6">
        <v>1.6441005802707929</v>
      </c>
      <c r="N164" s="6">
        <v>0.6082352941176471</v>
      </c>
      <c r="Q164" s="12">
        <v>5.9799999999999999E-2</v>
      </c>
    </row>
    <row r="165" spans="1:22" x14ac:dyDescent="0.2">
      <c r="A165">
        <v>31</v>
      </c>
      <c r="B165" s="5">
        <v>45186</v>
      </c>
      <c r="C165" s="17">
        <v>1</v>
      </c>
      <c r="D165" s="2">
        <v>19</v>
      </c>
      <c r="E165" s="2" t="s">
        <v>178</v>
      </c>
      <c r="F165" s="2">
        <v>2</v>
      </c>
      <c r="G165">
        <v>29</v>
      </c>
      <c r="K165" s="9" t="s">
        <v>9</v>
      </c>
      <c r="L165" s="6" t="e">
        <f t="shared" si="6"/>
        <v>#DIV/0!</v>
      </c>
      <c r="Q165" s="12">
        <v>5.5199999999999999E-2</v>
      </c>
    </row>
    <row r="166" spans="1:22" x14ac:dyDescent="0.2">
      <c r="A166">
        <v>31</v>
      </c>
      <c r="B166" s="5">
        <v>45186</v>
      </c>
      <c r="C166" s="17">
        <v>1</v>
      </c>
      <c r="D166" s="2">
        <v>17</v>
      </c>
      <c r="E166" s="2" t="s">
        <v>179</v>
      </c>
      <c r="F166" s="2">
        <v>2</v>
      </c>
      <c r="G166">
        <v>40</v>
      </c>
      <c r="H166" s="6">
        <v>5.0750121481232438E-2</v>
      </c>
      <c r="I166" s="6">
        <v>0.54076278622892826</v>
      </c>
      <c r="K166" s="6">
        <f t="shared" si="7"/>
        <v>9.3849138242563385E-2</v>
      </c>
      <c r="L166" s="6">
        <f t="shared" si="6"/>
        <v>10.655398853161447</v>
      </c>
      <c r="M166" s="6">
        <v>1.4824561403508769</v>
      </c>
      <c r="N166" s="6">
        <v>0.67455621301775159</v>
      </c>
      <c r="Q166" s="12">
        <v>3.3599999999999998E-2</v>
      </c>
    </row>
    <row r="167" spans="1:22" x14ac:dyDescent="0.2">
      <c r="A167">
        <v>31</v>
      </c>
      <c r="B167" s="5">
        <v>45186</v>
      </c>
      <c r="C167" s="17">
        <v>1</v>
      </c>
      <c r="D167" s="2">
        <v>16</v>
      </c>
      <c r="E167" s="2" t="s">
        <v>180</v>
      </c>
      <c r="F167" s="2">
        <v>2</v>
      </c>
      <c r="G167">
        <v>55</v>
      </c>
      <c r="H167" s="6">
        <v>1.245684799993888E-2</v>
      </c>
      <c r="I167" s="6">
        <v>0.21065766982056039</v>
      </c>
      <c r="K167" s="6">
        <f t="shared" si="7"/>
        <v>5.9133132966626409E-2</v>
      </c>
      <c r="L167" s="6">
        <f t="shared" si="6"/>
        <v>16.910993039458617</v>
      </c>
      <c r="M167" s="6">
        <v>1.3139534883720931</v>
      </c>
      <c r="N167" s="6">
        <v>0.76106194690265483</v>
      </c>
      <c r="Q167" s="12">
        <v>2.24E-2</v>
      </c>
    </row>
    <row r="168" spans="1:22" x14ac:dyDescent="0.2">
      <c r="A168">
        <v>32</v>
      </c>
      <c r="B168" s="5">
        <v>45186</v>
      </c>
      <c r="C168" s="17">
        <v>2</v>
      </c>
      <c r="D168" s="2">
        <v>24</v>
      </c>
      <c r="E168" s="2" t="s">
        <v>186</v>
      </c>
      <c r="F168" s="2">
        <v>2</v>
      </c>
      <c r="G168">
        <v>3.2</v>
      </c>
      <c r="H168" s="6">
        <v>2.4913695999877743E-2</v>
      </c>
      <c r="I168" s="6">
        <v>0.33829598417302797</v>
      </c>
      <c r="K168" s="6">
        <f t="shared" si="7"/>
        <v>7.3644669654532924E-2</v>
      </c>
      <c r="L168" s="6">
        <f t="shared" si="6"/>
        <v>13.578715264675626</v>
      </c>
      <c r="M168" s="6">
        <v>1.3857142857142857</v>
      </c>
      <c r="N168" s="6">
        <v>0.72164948453608257</v>
      </c>
      <c r="Q168" s="12">
        <v>4.3900000000000002E-2</v>
      </c>
      <c r="U168" s="6"/>
      <c r="V168" s="6"/>
    </row>
    <row r="169" spans="1:22" x14ac:dyDescent="0.2">
      <c r="A169">
        <v>32</v>
      </c>
      <c r="B169" s="5">
        <v>45186</v>
      </c>
      <c r="C169" s="17">
        <v>2</v>
      </c>
      <c r="D169" s="2">
        <v>21</v>
      </c>
      <c r="E169" s="2" t="s">
        <v>187</v>
      </c>
      <c r="F169" s="2">
        <v>2</v>
      </c>
      <c r="G169">
        <v>10.1</v>
      </c>
      <c r="H169" s="6">
        <v>5.3518309925663303E-2</v>
      </c>
      <c r="I169" s="6">
        <v>0.60025911438556701</v>
      </c>
      <c r="K169" s="6">
        <f t="shared" si="7"/>
        <v>8.9158679382062095E-2</v>
      </c>
      <c r="L169" s="6">
        <f t="shared" si="6"/>
        <v>11.21595796315923</v>
      </c>
      <c r="M169" s="6">
        <v>1.4603174603174602</v>
      </c>
      <c r="N169" s="6">
        <v>0.68478260869565222</v>
      </c>
      <c r="Q169" s="12">
        <v>5.04E-2</v>
      </c>
      <c r="U169" s="6"/>
      <c r="V169" s="6"/>
    </row>
    <row r="170" spans="1:22" x14ac:dyDescent="0.2">
      <c r="A170">
        <v>32</v>
      </c>
      <c r="B170" s="5">
        <v>45186</v>
      </c>
      <c r="C170" s="17">
        <v>2</v>
      </c>
      <c r="D170" s="2">
        <v>20</v>
      </c>
      <c r="E170" s="2" t="s">
        <v>188</v>
      </c>
      <c r="F170" s="2">
        <v>2</v>
      </c>
      <c r="G170">
        <v>20</v>
      </c>
      <c r="H170" s="6">
        <v>0.13840942222154307</v>
      </c>
      <c r="I170" s="6">
        <v>1.1795228458344289</v>
      </c>
      <c r="K170" s="6">
        <f t="shared" si="7"/>
        <v>0.11734357050424758</v>
      </c>
      <c r="L170" s="6">
        <f t="shared" si="6"/>
        <v>8.5219837414424173</v>
      </c>
      <c r="M170" s="6">
        <v>1.5905511811023623</v>
      </c>
      <c r="N170" s="6">
        <v>0.62871287128712872</v>
      </c>
      <c r="P170">
        <v>20</v>
      </c>
      <c r="Q170" s="13">
        <v>7.0699999999999999E-2</v>
      </c>
      <c r="U170" s="6"/>
      <c r="V170" s="6"/>
    </row>
    <row r="171" spans="1:22" x14ac:dyDescent="0.2">
      <c r="A171">
        <v>32</v>
      </c>
      <c r="B171" s="5">
        <v>45186</v>
      </c>
      <c r="C171" s="17">
        <v>2</v>
      </c>
      <c r="D171" s="2">
        <v>19</v>
      </c>
      <c r="E171" s="2" t="s">
        <v>189</v>
      </c>
      <c r="F171" s="2">
        <v>2</v>
      </c>
      <c r="G171">
        <v>29.8</v>
      </c>
      <c r="H171" s="6">
        <v>0.19654137955459111</v>
      </c>
      <c r="I171" s="6">
        <v>1.7284699253618094</v>
      </c>
      <c r="K171" s="6">
        <f t="shared" si="7"/>
        <v>0.11370830158554848</v>
      </c>
      <c r="L171" s="6">
        <f t="shared" si="6"/>
        <v>8.7944326496482716</v>
      </c>
      <c r="M171" s="6">
        <v>1.5741239892183287</v>
      </c>
      <c r="N171" s="6">
        <v>0.63527397260273977</v>
      </c>
      <c r="Q171" s="12">
        <v>4.5900000000000003E-2</v>
      </c>
      <c r="U171" s="6"/>
      <c r="V171" s="6"/>
    </row>
    <row r="172" spans="1:22" x14ac:dyDescent="0.2">
      <c r="A172">
        <v>32</v>
      </c>
      <c r="B172" s="5">
        <v>45186</v>
      </c>
      <c r="C172" s="17">
        <v>2</v>
      </c>
      <c r="D172" s="2">
        <v>16</v>
      </c>
      <c r="E172" s="2" t="s">
        <v>190</v>
      </c>
      <c r="F172" s="2">
        <v>2</v>
      </c>
      <c r="G172">
        <v>40.299999999999997</v>
      </c>
      <c r="H172" s="6">
        <v>0.43368285629416825</v>
      </c>
      <c r="I172" s="6">
        <v>2.7314300709268675</v>
      </c>
      <c r="K172" s="6">
        <f t="shared" si="7"/>
        <v>0.15877501712756822</v>
      </c>
      <c r="L172" s="6">
        <f t="shared" si="6"/>
        <v>6.2982200732281912</v>
      </c>
      <c r="M172" s="6">
        <v>1.7704918032786885</v>
      </c>
      <c r="N172" s="6">
        <v>0.56481481481481477</v>
      </c>
      <c r="Q172" s="12">
        <v>3.0099999999999998E-2</v>
      </c>
      <c r="U172" s="6"/>
      <c r="V172" s="6"/>
    </row>
    <row r="173" spans="1:22" x14ac:dyDescent="0.2">
      <c r="A173">
        <v>32</v>
      </c>
      <c r="B173" s="5">
        <v>45186</v>
      </c>
      <c r="C173" s="17">
        <v>2</v>
      </c>
      <c r="D173" s="2">
        <v>15</v>
      </c>
      <c r="E173" s="2" t="s">
        <v>191</v>
      </c>
      <c r="F173" s="2">
        <v>2</v>
      </c>
      <c r="G173">
        <v>55</v>
      </c>
      <c r="H173" s="6">
        <v>0.23068237036923842</v>
      </c>
      <c r="I173" s="6">
        <v>1.8188579677493013</v>
      </c>
      <c r="K173" s="6">
        <f t="shared" si="7"/>
        <v>0.12682813856801053</v>
      </c>
      <c r="L173" s="6">
        <f t="shared" si="6"/>
        <v>7.8846856170151733</v>
      </c>
      <c r="M173" s="6">
        <v>1.6329113924050633</v>
      </c>
      <c r="N173" s="6">
        <v>0.61240310077519378</v>
      </c>
      <c r="Q173" s="12">
        <v>2.4E-2</v>
      </c>
      <c r="U173" s="6"/>
      <c r="V173" s="6"/>
    </row>
    <row r="174" spans="1:22" x14ac:dyDescent="0.2">
      <c r="A174">
        <v>33</v>
      </c>
      <c r="B174" s="5">
        <v>45187</v>
      </c>
      <c r="C174" s="17">
        <v>1</v>
      </c>
      <c r="D174" s="2">
        <v>24</v>
      </c>
      <c r="E174" s="2" t="s">
        <v>192</v>
      </c>
      <c r="F174" s="2">
        <v>2</v>
      </c>
      <c r="G174">
        <v>3</v>
      </c>
      <c r="H174" s="6">
        <v>0.15686401185108217</v>
      </c>
      <c r="I174" s="6">
        <v>1.4101263226091683</v>
      </c>
      <c r="K174" s="6">
        <f t="shared" si="7"/>
        <v>0.1112411060881662</v>
      </c>
      <c r="L174" s="6">
        <f t="shared" si="6"/>
        <v>8.9894827116105027</v>
      </c>
      <c r="M174" s="6">
        <v>1.5629139072847684</v>
      </c>
      <c r="N174" s="6">
        <v>0.63983050847457623</v>
      </c>
      <c r="Q174" s="12">
        <v>4.5999999999999999E-2</v>
      </c>
    </row>
    <row r="175" spans="1:22" x14ac:dyDescent="0.2">
      <c r="A175">
        <v>33</v>
      </c>
      <c r="B175" s="5">
        <v>45187</v>
      </c>
      <c r="C175" s="17">
        <v>1</v>
      </c>
      <c r="D175" s="2">
        <v>21</v>
      </c>
      <c r="E175" s="2" t="s">
        <v>193</v>
      </c>
      <c r="F175" s="2">
        <v>2</v>
      </c>
      <c r="G175">
        <v>10</v>
      </c>
      <c r="H175" s="6">
        <v>0.24821423051730054</v>
      </c>
      <c r="I175" s="6">
        <v>1.7286841715666581</v>
      </c>
      <c r="K175" s="6">
        <f t="shared" si="7"/>
        <v>0.143585644272054</v>
      </c>
      <c r="L175" s="6">
        <f t="shared" si="6"/>
        <v>6.9644845420986803</v>
      </c>
      <c r="M175" s="6">
        <v>1.7060367454068242</v>
      </c>
      <c r="N175" s="6">
        <v>0.58615384615384614</v>
      </c>
      <c r="P175">
        <v>10</v>
      </c>
      <c r="Q175" s="13">
        <v>5.5100000000000003E-2</v>
      </c>
    </row>
    <row r="176" spans="1:22" x14ac:dyDescent="0.2">
      <c r="A176">
        <v>33</v>
      </c>
      <c r="B176" s="5">
        <v>45187</v>
      </c>
      <c r="C176" s="17">
        <v>1</v>
      </c>
      <c r="D176" s="2">
        <v>20</v>
      </c>
      <c r="E176" s="2" t="s">
        <v>194</v>
      </c>
      <c r="F176" s="2">
        <v>2</v>
      </c>
      <c r="G176">
        <v>19</v>
      </c>
      <c r="H176" s="6">
        <v>0.13379577481415827</v>
      </c>
      <c r="I176" s="6">
        <v>0.98177681428833796</v>
      </c>
      <c r="K176" s="6">
        <f t="shared" si="7"/>
        <v>0.1362792162810883</v>
      </c>
      <c r="L176" s="6">
        <f t="shared" ref="L176:L230" si="8">I176/H176</f>
        <v>7.3378760700928076</v>
      </c>
      <c r="M176" s="6">
        <v>1.6744186046511629</v>
      </c>
      <c r="N176" s="6">
        <v>0.59722222222222221</v>
      </c>
      <c r="Q176" s="12">
        <v>4.7300000000000002E-2</v>
      </c>
    </row>
    <row r="177" spans="1:17" x14ac:dyDescent="0.2">
      <c r="A177">
        <v>33</v>
      </c>
      <c r="B177" s="5">
        <v>45187</v>
      </c>
      <c r="C177" s="17">
        <v>1</v>
      </c>
      <c r="D177" s="2">
        <v>18</v>
      </c>
      <c r="E177" s="2" t="s">
        <v>195</v>
      </c>
      <c r="F177" s="2">
        <v>2</v>
      </c>
      <c r="G177">
        <v>30</v>
      </c>
      <c r="H177" s="6">
        <v>5.2595580444186357E-2</v>
      </c>
      <c r="I177" s="6">
        <v>0.59599313415028821</v>
      </c>
      <c r="K177" s="6">
        <f t="shared" si="7"/>
        <v>8.8248634808809109E-2</v>
      </c>
      <c r="L177" s="6">
        <f t="shared" si="8"/>
        <v>11.331620054706825</v>
      </c>
      <c r="M177" s="6">
        <v>1.456</v>
      </c>
      <c r="N177" s="6">
        <v>0.68681318681318682</v>
      </c>
      <c r="Q177" s="12">
        <v>4.0800000000000003E-2</v>
      </c>
    </row>
    <row r="178" spans="1:17" x14ac:dyDescent="0.2">
      <c r="A178">
        <v>33</v>
      </c>
      <c r="B178" s="5">
        <v>45187</v>
      </c>
      <c r="C178" s="17">
        <v>1</v>
      </c>
      <c r="D178" s="2">
        <v>17</v>
      </c>
      <c r="E178" s="2" t="s">
        <v>196</v>
      </c>
      <c r="F178" s="2">
        <v>2</v>
      </c>
      <c r="G178">
        <v>39</v>
      </c>
      <c r="H178" s="6">
        <v>4.2445556147939864E-2</v>
      </c>
      <c r="I178" s="6">
        <v>0.58538831957951143</v>
      </c>
      <c r="K178" s="6">
        <f t="shared" si="7"/>
        <v>7.2508375600027014E-2</v>
      </c>
      <c r="L178" s="6">
        <f t="shared" si="8"/>
        <v>13.791510176923994</v>
      </c>
      <c r="M178" s="6">
        <v>1.3801652892561984</v>
      </c>
      <c r="N178" s="6">
        <v>0.72455089820359286</v>
      </c>
      <c r="Q178" s="12">
        <v>3.0099999999999998E-2</v>
      </c>
    </row>
    <row r="179" spans="1:17" x14ac:dyDescent="0.2">
      <c r="A179">
        <v>33</v>
      </c>
      <c r="B179" s="5">
        <v>45187</v>
      </c>
      <c r="C179" s="17">
        <v>1</v>
      </c>
      <c r="D179" s="2">
        <v>16</v>
      </c>
      <c r="E179" s="2" t="s">
        <v>197</v>
      </c>
      <c r="F179" s="2">
        <v>2</v>
      </c>
      <c r="G179">
        <v>55</v>
      </c>
      <c r="H179" s="6">
        <v>2.1499596918413022E-2</v>
      </c>
      <c r="I179" s="6">
        <v>0.31576653467071381</v>
      </c>
      <c r="K179" s="6">
        <f t="shared" si="7"/>
        <v>6.8087002762446419E-2</v>
      </c>
      <c r="L179" s="6">
        <f t="shared" si="8"/>
        <v>14.687090919378125</v>
      </c>
      <c r="M179" s="6">
        <v>1.3584615384615384</v>
      </c>
      <c r="N179" s="6">
        <v>0.73612684031710074</v>
      </c>
      <c r="Q179" s="12">
        <v>2.4899999999999999E-2</v>
      </c>
    </row>
    <row r="180" spans="1:17" x14ac:dyDescent="0.2">
      <c r="A180">
        <v>34</v>
      </c>
      <c r="B180" s="5">
        <v>45187</v>
      </c>
      <c r="C180" s="17">
        <v>1</v>
      </c>
      <c r="D180" s="2">
        <v>24</v>
      </c>
      <c r="E180" s="2" t="s">
        <v>181</v>
      </c>
      <c r="F180" s="2">
        <v>2</v>
      </c>
      <c r="G180">
        <v>3</v>
      </c>
      <c r="H180" s="6">
        <v>0.17808678992505203</v>
      </c>
      <c r="I180" s="6">
        <v>1.8040003218756624</v>
      </c>
      <c r="K180" s="6">
        <f t="shared" si="7"/>
        <v>9.8717715160876976E-2</v>
      </c>
      <c r="L180" s="6">
        <f t="shared" si="8"/>
        <v>10.129894096214983</v>
      </c>
      <c r="M180" s="6">
        <v>1.5052356020942408</v>
      </c>
      <c r="N180" s="6">
        <v>0.66434782608695653</v>
      </c>
      <c r="Q180" s="12">
        <v>4.2599999999999999E-2</v>
      </c>
    </row>
    <row r="181" spans="1:17" x14ac:dyDescent="0.2">
      <c r="A181">
        <v>34</v>
      </c>
      <c r="B181" s="5">
        <v>45187</v>
      </c>
      <c r="C181" s="17">
        <v>1</v>
      </c>
      <c r="D181" s="2">
        <v>22</v>
      </c>
      <c r="E181" s="2" t="s">
        <v>182</v>
      </c>
      <c r="F181" s="2">
        <v>2</v>
      </c>
      <c r="G181">
        <v>10</v>
      </c>
      <c r="H181" s="6">
        <v>0.23714147673957714</v>
      </c>
      <c r="I181" s="6">
        <v>2.0562682180664851</v>
      </c>
      <c r="K181" s="6">
        <f t="shared" si="7"/>
        <v>0.11532614016792127</v>
      </c>
      <c r="L181" s="6">
        <f t="shared" si="8"/>
        <v>8.6710610321644737</v>
      </c>
      <c r="M181" s="6">
        <v>1.5814479638009049</v>
      </c>
      <c r="N181" s="6">
        <v>0.63233190271816875</v>
      </c>
      <c r="P181">
        <v>10</v>
      </c>
      <c r="Q181" s="13">
        <v>4.3999999999999997E-2</v>
      </c>
    </row>
    <row r="182" spans="1:17" x14ac:dyDescent="0.2">
      <c r="A182">
        <v>34</v>
      </c>
      <c r="B182" s="5">
        <v>45187</v>
      </c>
      <c r="C182" s="17">
        <v>1</v>
      </c>
      <c r="D182" s="2">
        <v>21</v>
      </c>
      <c r="E182" s="2" t="s">
        <v>183</v>
      </c>
      <c r="F182" s="2">
        <v>2</v>
      </c>
      <c r="G182">
        <v>20</v>
      </c>
      <c r="H182" s="6">
        <v>9.6886595555080141E-2</v>
      </c>
      <c r="I182" s="6">
        <v>0.97198760609661394</v>
      </c>
      <c r="K182" s="6">
        <f t="shared" si="7"/>
        <v>9.9678838441330672E-2</v>
      </c>
      <c r="L182" s="6">
        <f t="shared" si="8"/>
        <v>10.032219632942287</v>
      </c>
      <c r="M182" s="6">
        <v>1.5097087378640777</v>
      </c>
      <c r="N182" s="6">
        <v>0.66237942122186499</v>
      </c>
      <c r="Q182" s="12">
        <v>4.3999999999999997E-2</v>
      </c>
    </row>
    <row r="183" spans="1:17" x14ac:dyDescent="0.2">
      <c r="A183">
        <v>34</v>
      </c>
      <c r="B183" s="5">
        <v>45187</v>
      </c>
      <c r="C183" s="17">
        <v>1</v>
      </c>
      <c r="D183" s="2">
        <v>20</v>
      </c>
      <c r="E183" s="2" t="s">
        <v>184</v>
      </c>
      <c r="F183" s="2">
        <v>2</v>
      </c>
      <c r="G183">
        <v>30</v>
      </c>
      <c r="H183" s="6">
        <v>4.5213744592370736E-2</v>
      </c>
      <c r="I183" s="6">
        <v>0.49960077566698791</v>
      </c>
      <c r="K183" s="6">
        <f t="shared" si="7"/>
        <v>9.0499748588277307E-2</v>
      </c>
      <c r="L183" s="6">
        <f t="shared" si="8"/>
        <v>11.049754453456382</v>
      </c>
      <c r="M183" s="6">
        <v>1.4666666666666668</v>
      </c>
      <c r="N183" s="6">
        <v>0.68181818181818177</v>
      </c>
      <c r="Q183" s="12">
        <v>3.4500000000000003E-2</v>
      </c>
    </row>
    <row r="184" spans="1:17" x14ac:dyDescent="0.2">
      <c r="A184">
        <v>34</v>
      </c>
      <c r="B184" s="5">
        <v>45187</v>
      </c>
      <c r="C184" s="17">
        <v>1</v>
      </c>
      <c r="D184" s="2">
        <v>19</v>
      </c>
      <c r="E184" s="2" t="s">
        <v>185</v>
      </c>
      <c r="F184" s="2">
        <v>2</v>
      </c>
      <c r="G184">
        <v>40</v>
      </c>
      <c r="H184" s="6">
        <v>1.99309567999022E-2</v>
      </c>
      <c r="I184" s="6">
        <v>0.29191049717712109</v>
      </c>
      <c r="K184" s="6">
        <f t="shared" si="7"/>
        <v>6.8277629590719355E-2</v>
      </c>
      <c r="L184" s="6">
        <f t="shared" si="8"/>
        <v>14.646085489410797</v>
      </c>
      <c r="M184" s="6">
        <v>1.3594009983361066</v>
      </c>
      <c r="N184" s="6">
        <v>0.73561811505507957</v>
      </c>
      <c r="Q184" s="12">
        <v>2.4199999999999999E-2</v>
      </c>
    </row>
    <row r="185" spans="1:17" x14ac:dyDescent="0.2">
      <c r="A185">
        <v>34</v>
      </c>
      <c r="B185" s="5">
        <v>45187</v>
      </c>
      <c r="C185" s="17">
        <v>1</v>
      </c>
      <c r="D185" s="2">
        <v>18</v>
      </c>
      <c r="E185" s="2" t="s">
        <v>198</v>
      </c>
      <c r="F185" s="2">
        <v>2</v>
      </c>
      <c r="G185">
        <v>55</v>
      </c>
      <c r="H185" s="6">
        <v>1.3287304533268138E-2</v>
      </c>
      <c r="I185" s="6">
        <v>0.24044060061609029</v>
      </c>
      <c r="K185" s="6">
        <f t="shared" si="7"/>
        <v>5.5262316344334365E-2</v>
      </c>
      <c r="L185" s="6">
        <f t="shared" si="8"/>
        <v>18.09551365471351</v>
      </c>
      <c r="M185" s="6">
        <v>1.294478527607362</v>
      </c>
      <c r="N185" s="6">
        <v>0.77251184834123221</v>
      </c>
      <c r="Q185" s="12">
        <v>2.2200000000000001E-2</v>
      </c>
    </row>
    <row r="186" spans="1:17" x14ac:dyDescent="0.2">
      <c r="A186">
        <v>37</v>
      </c>
      <c r="B186" s="5">
        <v>45188</v>
      </c>
      <c r="C186" s="17">
        <v>1</v>
      </c>
      <c r="D186" s="2">
        <v>24</v>
      </c>
      <c r="E186" s="2" t="s">
        <v>199</v>
      </c>
      <c r="F186" s="2">
        <v>2</v>
      </c>
      <c r="G186">
        <v>3</v>
      </c>
      <c r="H186" s="6">
        <v>0.14855944651778957</v>
      </c>
      <c r="I186" s="6">
        <v>1.3354115324743683</v>
      </c>
      <c r="K186" s="6">
        <f t="shared" si="7"/>
        <v>0.11124619108427612</v>
      </c>
      <c r="L186" s="6">
        <f t="shared" si="8"/>
        <v>8.9890718077928256</v>
      </c>
      <c r="M186" s="6">
        <v>1.5629370629370629</v>
      </c>
      <c r="N186" s="6">
        <v>0.63982102908277405</v>
      </c>
      <c r="Q186" s="12">
        <v>3.4799999999999998E-2</v>
      </c>
    </row>
    <row r="187" spans="1:17" x14ac:dyDescent="0.2">
      <c r="A187">
        <v>37</v>
      </c>
      <c r="B187" s="5">
        <v>45188</v>
      </c>
      <c r="C187" s="17">
        <v>1</v>
      </c>
      <c r="D187" s="2">
        <v>16</v>
      </c>
      <c r="E187" s="2" t="s">
        <v>200</v>
      </c>
      <c r="F187" s="2">
        <v>2</v>
      </c>
      <c r="G187">
        <v>10</v>
      </c>
      <c r="H187" s="6">
        <v>0.12087756207348091</v>
      </c>
      <c r="I187" s="6">
        <v>1.2904514808840959</v>
      </c>
      <c r="K187" s="6">
        <f t="shared" si="7"/>
        <v>9.3670753115542932E-2</v>
      </c>
      <c r="L187" s="6">
        <f t="shared" si="8"/>
        <v>10.675690829201505</v>
      </c>
      <c r="M187" s="6">
        <v>1.4816176470588234</v>
      </c>
      <c r="N187" s="6">
        <v>0.67493796526054595</v>
      </c>
      <c r="Q187" s="12">
        <v>4.0300000000000002E-2</v>
      </c>
    </row>
    <row r="188" spans="1:17" x14ac:dyDescent="0.2">
      <c r="A188">
        <v>37</v>
      </c>
      <c r="B188" s="5">
        <v>45188</v>
      </c>
      <c r="C188" s="17">
        <v>1</v>
      </c>
      <c r="D188" s="2">
        <v>15</v>
      </c>
      <c r="E188" s="2" t="s">
        <v>201</v>
      </c>
      <c r="F188" s="2">
        <v>2</v>
      </c>
      <c r="G188">
        <v>20</v>
      </c>
      <c r="H188" s="6">
        <v>0.12641393896234268</v>
      </c>
      <c r="I188" s="6">
        <v>1.3471796205963034</v>
      </c>
      <c r="K188" s="6">
        <f t="shared" si="7"/>
        <v>9.3835994124070815E-2</v>
      </c>
      <c r="L188" s="6">
        <f t="shared" si="8"/>
        <v>10.656891412881402</v>
      </c>
      <c r="M188" s="6">
        <v>1.4823943661971832</v>
      </c>
      <c r="N188" s="6">
        <v>0.67458432304037996</v>
      </c>
      <c r="Q188" s="12">
        <v>4.0300000000000002E-2</v>
      </c>
    </row>
    <row r="189" spans="1:17" x14ac:dyDescent="0.2">
      <c r="A189">
        <v>37</v>
      </c>
      <c r="B189" s="5">
        <v>45188</v>
      </c>
      <c r="C189" s="17">
        <v>1</v>
      </c>
      <c r="D189" s="2">
        <v>14</v>
      </c>
      <c r="E189" s="2" t="s">
        <v>202</v>
      </c>
      <c r="F189" s="2">
        <v>2</v>
      </c>
      <c r="G189">
        <v>30</v>
      </c>
      <c r="H189" s="6">
        <v>9.5963866073603202E-2</v>
      </c>
      <c r="I189" s="6">
        <v>1.0299861424624046</v>
      </c>
      <c r="K189" s="6">
        <f t="shared" si="7"/>
        <v>9.3170055515679875E-2</v>
      </c>
      <c r="L189" s="6">
        <f t="shared" si="8"/>
        <v>10.733062188974513</v>
      </c>
      <c r="M189" s="6">
        <v>1.4792626728110601</v>
      </c>
      <c r="N189" s="6">
        <v>0.67601246105919</v>
      </c>
      <c r="P189">
        <v>30</v>
      </c>
      <c r="Q189" s="13">
        <v>4.1700000000000001E-2</v>
      </c>
    </row>
    <row r="190" spans="1:17" x14ac:dyDescent="0.2">
      <c r="A190">
        <v>37</v>
      </c>
      <c r="B190" s="5">
        <v>45188</v>
      </c>
      <c r="C190" s="17">
        <v>1</v>
      </c>
      <c r="D190" s="2">
        <v>12</v>
      </c>
      <c r="E190" s="2" t="s">
        <v>203</v>
      </c>
      <c r="F190" s="2">
        <v>2</v>
      </c>
      <c r="G190">
        <v>40</v>
      </c>
      <c r="H190" s="6">
        <v>8.212292385144887E-2</v>
      </c>
      <c r="I190" s="6">
        <v>0.75325934054623434</v>
      </c>
      <c r="K190" s="6">
        <f t="shared" si="7"/>
        <v>0.10902343911447089</v>
      </c>
      <c r="L190" s="6">
        <f t="shared" si="8"/>
        <v>9.1723395273747901</v>
      </c>
      <c r="M190" s="6">
        <v>1.5527950310559004</v>
      </c>
      <c r="N190" s="6">
        <v>0.64400000000000002</v>
      </c>
      <c r="Q190" s="12">
        <v>3.9300000000000002E-2</v>
      </c>
    </row>
    <row r="191" spans="1:17" x14ac:dyDescent="0.2">
      <c r="A191">
        <v>37</v>
      </c>
      <c r="B191" s="5">
        <v>45188</v>
      </c>
      <c r="C191" s="17">
        <v>1</v>
      </c>
      <c r="D191" s="2">
        <v>11</v>
      </c>
      <c r="E191" s="2" t="s">
        <v>204</v>
      </c>
      <c r="F191" s="2">
        <v>2</v>
      </c>
      <c r="G191">
        <v>55</v>
      </c>
      <c r="H191" s="6">
        <v>5.8131957333048073E-2</v>
      </c>
      <c r="I191" s="6">
        <v>0.4659277240592874</v>
      </c>
      <c r="K191" s="6">
        <f t="shared" si="7"/>
        <v>0.12476604059227654</v>
      </c>
      <c r="L191" s="6">
        <f t="shared" si="8"/>
        <v>8.0150014799932947</v>
      </c>
      <c r="M191" s="6">
        <v>1.6237623762376237</v>
      </c>
      <c r="N191" s="6">
        <v>0.61585365853658536</v>
      </c>
      <c r="Q191" s="12">
        <v>3.0300000000000001E-2</v>
      </c>
    </row>
    <row r="192" spans="1:17" x14ac:dyDescent="0.2">
      <c r="A192">
        <v>38</v>
      </c>
      <c r="B192" s="5">
        <v>45189</v>
      </c>
      <c r="C192" s="17">
        <v>1</v>
      </c>
      <c r="D192" s="2">
        <v>24</v>
      </c>
      <c r="E192" s="2" t="s">
        <v>205</v>
      </c>
      <c r="F192" s="2">
        <v>2</v>
      </c>
      <c r="G192">
        <v>3</v>
      </c>
      <c r="H192" s="6">
        <v>0.17993224888800596</v>
      </c>
      <c r="I192" s="6">
        <v>1.7243242171613715</v>
      </c>
      <c r="K192" s="6">
        <f t="shared" si="7"/>
        <v>0.10434942982139127</v>
      </c>
      <c r="L192" s="6">
        <f t="shared" si="8"/>
        <v>9.5831860481810089</v>
      </c>
      <c r="M192" s="6">
        <v>1.5313351498637602</v>
      </c>
      <c r="N192" s="6">
        <v>0.65302491103202853</v>
      </c>
      <c r="P192">
        <v>3</v>
      </c>
      <c r="Q192" s="13">
        <v>5.8999999999999997E-2</v>
      </c>
    </row>
    <row r="193" spans="1:17" x14ac:dyDescent="0.2">
      <c r="A193">
        <v>38</v>
      </c>
      <c r="B193" s="5">
        <v>45189</v>
      </c>
      <c r="C193" s="17">
        <v>1</v>
      </c>
      <c r="D193" s="2">
        <v>22</v>
      </c>
      <c r="E193" s="2" t="s">
        <v>206</v>
      </c>
      <c r="F193" s="2">
        <v>2</v>
      </c>
      <c r="G193">
        <v>10</v>
      </c>
      <c r="H193" s="6">
        <v>0.140254881184497</v>
      </c>
      <c r="I193" s="6">
        <v>1.6913596488302989</v>
      </c>
      <c r="K193" s="6">
        <f t="shared" si="7"/>
        <v>8.2924339173808301E-2</v>
      </c>
      <c r="L193" s="6">
        <f t="shared" si="8"/>
        <v>12.059185637934521</v>
      </c>
      <c r="M193" s="6">
        <v>1.4305949008498584</v>
      </c>
      <c r="N193" s="6">
        <v>0.69900990099009896</v>
      </c>
      <c r="Q193" s="12">
        <v>5.4899999999999997E-2</v>
      </c>
    </row>
    <row r="194" spans="1:17" x14ac:dyDescent="0.2">
      <c r="A194">
        <v>38</v>
      </c>
      <c r="B194" s="5">
        <v>45189</v>
      </c>
      <c r="C194" s="17">
        <v>1</v>
      </c>
      <c r="D194" s="2">
        <v>21</v>
      </c>
      <c r="E194" s="2" t="s">
        <v>207</v>
      </c>
      <c r="F194" s="2">
        <v>2</v>
      </c>
      <c r="G194">
        <v>19</v>
      </c>
      <c r="H194" s="6">
        <v>0.10334570192541884</v>
      </c>
      <c r="I194" s="6">
        <v>1.1419446300959724</v>
      </c>
      <c r="K194" s="6">
        <f t="shared" si="7"/>
        <v>9.0499748588277321E-2</v>
      </c>
      <c r="L194" s="6">
        <f t="shared" si="8"/>
        <v>11.04975445345638</v>
      </c>
      <c r="M194" s="6">
        <v>1.4666666666666668</v>
      </c>
      <c r="N194" s="6">
        <v>0.68181818181818177</v>
      </c>
      <c r="Q194" s="12">
        <v>4.7899999999999998E-2</v>
      </c>
    </row>
    <row r="195" spans="1:17" x14ac:dyDescent="0.2">
      <c r="A195">
        <v>38</v>
      </c>
      <c r="B195" s="5">
        <v>45189</v>
      </c>
      <c r="C195" s="17">
        <v>1</v>
      </c>
      <c r="D195" s="2">
        <v>20</v>
      </c>
      <c r="E195" s="2" t="s">
        <v>208</v>
      </c>
      <c r="F195" s="2">
        <v>2</v>
      </c>
      <c r="G195">
        <v>30</v>
      </c>
      <c r="H195" s="6">
        <v>7.1972899555202377E-2</v>
      </c>
      <c r="I195" s="6">
        <v>0.737465816258702</v>
      </c>
      <c r="K195" s="6">
        <f t="shared" si="7"/>
        <v>9.7594895883220678E-2</v>
      </c>
      <c r="L195" s="6">
        <f t="shared" si="8"/>
        <v>10.246437489892626</v>
      </c>
      <c r="M195" s="6">
        <v>1.5</v>
      </c>
      <c r="N195" s="6">
        <v>0.66666666666666674</v>
      </c>
      <c r="Q195" s="12">
        <v>4.0300000000000002E-2</v>
      </c>
    </row>
    <row r="196" spans="1:17" x14ac:dyDescent="0.2">
      <c r="A196">
        <v>38</v>
      </c>
      <c r="B196" s="5">
        <v>45189</v>
      </c>
      <c r="C196" s="17">
        <v>1</v>
      </c>
      <c r="D196" s="2">
        <v>19</v>
      </c>
      <c r="E196" s="2" t="s">
        <v>209</v>
      </c>
      <c r="F196" s="2">
        <v>2</v>
      </c>
      <c r="G196">
        <v>40</v>
      </c>
      <c r="H196" s="6">
        <v>4.2445556147939864E-2</v>
      </c>
      <c r="I196" s="6">
        <v>0.38821735034279126</v>
      </c>
      <c r="K196" s="6">
        <f t="shared" si="7"/>
        <v>0.1093345161169663</v>
      </c>
      <c r="L196" s="6">
        <f t="shared" si="8"/>
        <v>9.1462425180553026</v>
      </c>
      <c r="M196" s="6">
        <v>1.5542168674698795</v>
      </c>
      <c r="N196" s="6">
        <v>0.64341085271317833</v>
      </c>
      <c r="Q196" s="12">
        <v>3.2300000000000002E-2</v>
      </c>
    </row>
    <row r="197" spans="1:17" x14ac:dyDescent="0.2">
      <c r="A197">
        <v>38</v>
      </c>
      <c r="B197" s="5">
        <v>45189</v>
      </c>
      <c r="C197" s="17">
        <v>1</v>
      </c>
      <c r="D197" s="2">
        <v>18</v>
      </c>
      <c r="E197" s="2" t="s">
        <v>210</v>
      </c>
      <c r="F197" s="2">
        <v>2</v>
      </c>
      <c r="G197">
        <v>55</v>
      </c>
      <c r="H197" s="6">
        <v>5.6286498370094175E-2</v>
      </c>
      <c r="I197" s="6">
        <v>0.5092828607562877</v>
      </c>
      <c r="K197" s="6">
        <f t="shared" ref="K197:K233" si="9">H197/I197</f>
        <v>0.11052109290799307</v>
      </c>
      <c r="L197" s="6">
        <f t="shared" si="8"/>
        <v>9.0480466098220997</v>
      </c>
      <c r="M197" s="6">
        <v>1.5596330275229358</v>
      </c>
      <c r="N197" s="6">
        <v>0.64117647058823535</v>
      </c>
      <c r="Q197" s="12">
        <v>3.3000000000000002E-2</v>
      </c>
    </row>
    <row r="198" spans="1:17" x14ac:dyDescent="0.2">
      <c r="A198">
        <v>40</v>
      </c>
      <c r="B198" s="5">
        <v>45190</v>
      </c>
      <c r="C198" s="17">
        <v>1</v>
      </c>
      <c r="D198" s="2">
        <v>20</v>
      </c>
      <c r="E198" s="2" t="s">
        <v>211</v>
      </c>
      <c r="F198" s="2">
        <v>2</v>
      </c>
      <c r="G198">
        <v>3</v>
      </c>
      <c r="H198" s="15">
        <v>0.12364575051791178</v>
      </c>
      <c r="I198" s="15">
        <v>1.412212325641804</v>
      </c>
      <c r="K198" s="6">
        <f t="shared" si="9"/>
        <v>8.7554646190840218E-2</v>
      </c>
      <c r="L198" s="6">
        <f t="shared" si="8"/>
        <v>11.421438421672452</v>
      </c>
      <c r="M198" s="6">
        <v>1.3985765124555158</v>
      </c>
      <c r="N198" s="6">
        <v>0.71501272264631055</v>
      </c>
      <c r="P198">
        <v>3</v>
      </c>
      <c r="Q198" s="13">
        <v>4.8500000000000001E-2</v>
      </c>
    </row>
    <row r="199" spans="1:17" x14ac:dyDescent="0.2">
      <c r="A199">
        <v>40</v>
      </c>
      <c r="B199" s="5">
        <v>45190</v>
      </c>
      <c r="C199" s="17">
        <v>1</v>
      </c>
      <c r="D199" s="2">
        <v>19</v>
      </c>
      <c r="E199" s="2" t="s">
        <v>212</v>
      </c>
      <c r="F199" s="2">
        <v>2</v>
      </c>
      <c r="G199">
        <v>10</v>
      </c>
      <c r="H199" s="15">
        <v>0.10334570192541878</v>
      </c>
      <c r="I199" s="15">
        <v>1.35468172848296</v>
      </c>
      <c r="K199" s="6">
        <f t="shared" si="9"/>
        <v>7.6287809713910026E-2</v>
      </c>
      <c r="L199" s="6">
        <f t="shared" si="8"/>
        <v>13.108254172588518</v>
      </c>
      <c r="M199" s="6">
        <v>1.4527027027027026</v>
      </c>
      <c r="N199" s="6">
        <v>0.68837209302325586</v>
      </c>
      <c r="Q199" s="12">
        <v>4.53E-2</v>
      </c>
    </row>
    <row r="200" spans="1:17" x14ac:dyDescent="0.2">
      <c r="A200">
        <v>40</v>
      </c>
      <c r="B200" s="5">
        <v>45190</v>
      </c>
      <c r="C200" s="17">
        <v>1</v>
      </c>
      <c r="D200" s="2">
        <v>18</v>
      </c>
      <c r="E200" s="2" t="s">
        <v>213</v>
      </c>
      <c r="F200" s="2">
        <v>2</v>
      </c>
      <c r="G200">
        <v>20</v>
      </c>
      <c r="H200" s="15">
        <v>2.6759154962831676E-2</v>
      </c>
      <c r="I200" s="15">
        <v>1.3586263394109659</v>
      </c>
      <c r="K200" s="6">
        <f t="shared" si="9"/>
        <v>1.969574281507978E-2</v>
      </c>
      <c r="L200" s="6">
        <f t="shared" si="8"/>
        <v>50.772393272436695</v>
      </c>
      <c r="M200" s="6">
        <v>1.1086142322097379</v>
      </c>
      <c r="N200" s="6">
        <v>0.90202702702702697</v>
      </c>
      <c r="Q200" s="12">
        <v>4.2799999999999998E-2</v>
      </c>
    </row>
    <row r="201" spans="1:17" x14ac:dyDescent="0.2">
      <c r="A201">
        <v>40</v>
      </c>
      <c r="B201" s="5">
        <v>45190</v>
      </c>
      <c r="C201" s="17">
        <v>1</v>
      </c>
      <c r="D201" s="2">
        <v>17</v>
      </c>
      <c r="E201" s="2" t="s">
        <v>214</v>
      </c>
      <c r="F201" s="2">
        <v>2</v>
      </c>
      <c r="G201">
        <v>30</v>
      </c>
      <c r="H201" s="15">
        <v>6.0900145777478924E-2</v>
      </c>
      <c r="I201" s="15">
        <v>0.78485953805371578</v>
      </c>
      <c r="K201" s="6">
        <f t="shared" si="9"/>
        <v>7.7593687564144656E-2</v>
      </c>
      <c r="L201" s="6">
        <f t="shared" si="8"/>
        <v>12.887646294337106</v>
      </c>
      <c r="M201" s="6">
        <v>1.4049079754601226</v>
      </c>
      <c r="N201" s="6">
        <v>0.71179039301310054</v>
      </c>
      <c r="Q201" s="12">
        <v>4.0300000000000002E-2</v>
      </c>
    </row>
    <row r="202" spans="1:17" x14ac:dyDescent="0.2">
      <c r="A202">
        <v>40</v>
      </c>
      <c r="B202" s="5">
        <v>45190</v>
      </c>
      <c r="C202" s="17">
        <v>1</v>
      </c>
      <c r="D202" s="2">
        <v>16</v>
      </c>
      <c r="E202" s="2" t="s">
        <v>215</v>
      </c>
      <c r="F202" s="2">
        <v>2</v>
      </c>
      <c r="G202">
        <v>40</v>
      </c>
      <c r="H202" s="15">
        <v>5.6286498370094154E-2</v>
      </c>
      <c r="I202" s="15">
        <v>0.55598124820708983</v>
      </c>
      <c r="K202" s="6">
        <f t="shared" si="9"/>
        <v>0.10123812368061876</v>
      </c>
      <c r="L202" s="6">
        <f t="shared" si="8"/>
        <v>9.8777018344863112</v>
      </c>
      <c r="M202" s="6">
        <v>1.5169491525423726</v>
      </c>
      <c r="N202" s="6">
        <v>0.65921787709497215</v>
      </c>
      <c r="Q202" s="12">
        <v>3.1800000000000002E-2</v>
      </c>
    </row>
    <row r="203" spans="1:17" x14ac:dyDescent="0.2">
      <c r="A203">
        <v>40</v>
      </c>
      <c r="B203" s="5">
        <v>45190</v>
      </c>
      <c r="C203" s="17">
        <v>1</v>
      </c>
      <c r="D203" s="2">
        <v>15</v>
      </c>
      <c r="E203" s="2" t="s">
        <v>216</v>
      </c>
      <c r="F203" s="2">
        <v>2</v>
      </c>
      <c r="G203">
        <v>55</v>
      </c>
      <c r="H203" s="15">
        <v>4.8166478933096973E-2</v>
      </c>
      <c r="I203" s="15">
        <v>0.39183610504779454</v>
      </c>
      <c r="K203" s="6">
        <f t="shared" si="9"/>
        <v>0.12292506563993592</v>
      </c>
      <c r="L203" s="6">
        <f t="shared" si="8"/>
        <v>8.1350373481120162</v>
      </c>
      <c r="M203" s="6">
        <v>1.6155660377358489</v>
      </c>
      <c r="N203" s="6">
        <v>0.61897810218978111</v>
      </c>
      <c r="Q203" s="12">
        <v>2.7699999999999999E-2</v>
      </c>
    </row>
    <row r="204" spans="1:17" x14ac:dyDescent="0.2">
      <c r="A204">
        <v>41</v>
      </c>
      <c r="B204" s="5">
        <v>45190</v>
      </c>
      <c r="C204" s="17">
        <v>1</v>
      </c>
      <c r="D204" s="2">
        <v>20</v>
      </c>
      <c r="E204" s="2" t="s">
        <v>217</v>
      </c>
      <c r="F204" s="2">
        <v>2</v>
      </c>
      <c r="G204">
        <v>3</v>
      </c>
      <c r="H204" s="6">
        <v>7.5663817481110202E-2</v>
      </c>
      <c r="I204" s="6">
        <v>0.89981360926897958</v>
      </c>
      <c r="K204" s="6">
        <f t="shared" si="9"/>
        <v>8.4088323072353269E-2</v>
      </c>
      <c r="L204" s="6">
        <f t="shared" si="8"/>
        <v>11.892257610364716</v>
      </c>
      <c r="M204" s="6">
        <v>1.4361702127659575</v>
      </c>
      <c r="N204" s="6">
        <v>0.6962962962962963</v>
      </c>
      <c r="Q204" s="12">
        <v>3.1E-2</v>
      </c>
    </row>
    <row r="205" spans="1:17" x14ac:dyDescent="0.2">
      <c r="A205">
        <v>41</v>
      </c>
      <c r="B205" s="5">
        <v>45190</v>
      </c>
      <c r="C205" s="17">
        <v>1</v>
      </c>
      <c r="D205" s="2">
        <v>19</v>
      </c>
      <c r="E205" s="2" t="s">
        <v>218</v>
      </c>
      <c r="F205" s="2">
        <v>2</v>
      </c>
      <c r="G205">
        <v>10</v>
      </c>
      <c r="H205" s="6">
        <v>6.7359252147817628E-2</v>
      </c>
      <c r="I205" s="6">
        <v>0.83028752885093526</v>
      </c>
      <c r="K205" s="6">
        <f t="shared" si="9"/>
        <v>8.1127621224226398E-2</v>
      </c>
      <c r="L205" s="6">
        <f t="shared" si="8"/>
        <v>12.326258121585095</v>
      </c>
      <c r="M205" s="6">
        <v>1.4219653179190752</v>
      </c>
      <c r="N205" s="6">
        <v>0.7032520325203252</v>
      </c>
      <c r="Q205" s="12">
        <v>2.9600000000000001E-2</v>
      </c>
    </row>
    <row r="206" spans="1:17" x14ac:dyDescent="0.2">
      <c r="A206">
        <v>41</v>
      </c>
      <c r="B206" s="5">
        <v>45190</v>
      </c>
      <c r="C206" s="17">
        <v>1</v>
      </c>
      <c r="D206" s="2">
        <v>18</v>
      </c>
      <c r="E206" s="2" t="s">
        <v>219</v>
      </c>
      <c r="F206" s="2">
        <v>2</v>
      </c>
      <c r="G206">
        <v>20</v>
      </c>
      <c r="H206" s="6">
        <v>7.1050170073725424E-2</v>
      </c>
      <c r="I206" s="6">
        <v>0.91480467610987581</v>
      </c>
      <c r="K206" s="6">
        <f t="shared" si="9"/>
        <v>7.7667038581241021E-2</v>
      </c>
      <c r="L206" s="6">
        <f t="shared" si="8"/>
        <v>12.875474825192198</v>
      </c>
      <c r="M206" s="6">
        <v>1.4052631578947368</v>
      </c>
      <c r="N206" s="6">
        <v>0.71161048689138584</v>
      </c>
      <c r="Q206" s="12">
        <v>3.1300000000000001E-2</v>
      </c>
    </row>
    <row r="207" spans="1:17" x14ac:dyDescent="0.2">
      <c r="A207">
        <v>41</v>
      </c>
      <c r="B207" s="5">
        <v>45190</v>
      </c>
      <c r="C207" s="17">
        <v>1</v>
      </c>
      <c r="D207" s="2">
        <v>17</v>
      </c>
      <c r="E207" s="2" t="s">
        <v>220</v>
      </c>
      <c r="F207" s="2">
        <v>2</v>
      </c>
      <c r="G207">
        <v>30</v>
      </c>
      <c r="H207" s="6">
        <v>7.9354735407018026E-2</v>
      </c>
      <c r="I207" s="6">
        <v>0.9687646273776529</v>
      </c>
      <c r="K207" s="6">
        <f t="shared" si="9"/>
        <v>8.1913328753366238E-2</v>
      </c>
      <c r="L207" s="6">
        <f t="shared" si="8"/>
        <v>12.208025424176219</v>
      </c>
      <c r="M207" s="6">
        <v>1.4257425742574259</v>
      </c>
      <c r="N207" s="6">
        <v>0.70138888888888884</v>
      </c>
      <c r="P207">
        <v>30</v>
      </c>
      <c r="Q207" s="13">
        <v>3.4200000000000001E-2</v>
      </c>
    </row>
    <row r="208" spans="1:17" x14ac:dyDescent="0.2">
      <c r="A208">
        <v>41</v>
      </c>
      <c r="B208" s="5">
        <v>45190</v>
      </c>
      <c r="C208" s="17">
        <v>1</v>
      </c>
      <c r="D208" s="2">
        <v>16</v>
      </c>
      <c r="E208" s="2" t="s">
        <v>221</v>
      </c>
      <c r="F208" s="2">
        <v>2</v>
      </c>
      <c r="G208">
        <v>40</v>
      </c>
      <c r="H208" s="6">
        <v>5.7209227851571141E-2</v>
      </c>
      <c r="I208" s="6">
        <v>0.75222948796233313</v>
      </c>
      <c r="K208" s="6">
        <f t="shared" si="9"/>
        <v>7.6052891793090424E-2</v>
      </c>
      <c r="L208" s="6">
        <f t="shared" si="8"/>
        <v>13.148743938897169</v>
      </c>
      <c r="M208" s="6">
        <v>1.3974358974358976</v>
      </c>
      <c r="N208" s="6">
        <v>0.71559633027522929</v>
      </c>
      <c r="Q208" s="12">
        <v>3.3000000000000002E-2</v>
      </c>
    </row>
    <row r="209" spans="1:21" x14ac:dyDescent="0.2">
      <c r="A209">
        <v>41</v>
      </c>
      <c r="B209" s="5">
        <v>45190</v>
      </c>
      <c r="C209" s="17">
        <v>1</v>
      </c>
      <c r="D209" s="2">
        <v>15</v>
      </c>
      <c r="E209" s="2" t="s">
        <v>222</v>
      </c>
      <c r="F209" s="2">
        <v>2</v>
      </c>
      <c r="G209">
        <v>55</v>
      </c>
      <c r="H209" s="6">
        <v>4.3276012681269127E-2</v>
      </c>
      <c r="I209" s="6">
        <v>0.47092512024923028</v>
      </c>
      <c r="K209" s="6">
        <f t="shared" si="9"/>
        <v>9.189574057626386E-2</v>
      </c>
      <c r="L209" s="6">
        <f t="shared" si="8"/>
        <v>10.881897177487835</v>
      </c>
      <c r="M209" s="6">
        <v>1.4732593340060545</v>
      </c>
      <c r="N209" s="6">
        <v>0.6787671232876713</v>
      </c>
      <c r="Q209" s="12">
        <v>2.98E-2</v>
      </c>
    </row>
    <row r="210" spans="1:21" x14ac:dyDescent="0.2">
      <c r="A210">
        <v>42</v>
      </c>
      <c r="B210" s="5">
        <v>45191</v>
      </c>
      <c r="C210" s="17">
        <v>1</v>
      </c>
      <c r="D210" s="2">
        <v>20</v>
      </c>
      <c r="E210" s="2" t="s">
        <v>223</v>
      </c>
      <c r="F210" s="2">
        <v>2</v>
      </c>
      <c r="G210">
        <v>4</v>
      </c>
      <c r="H210" s="6">
        <v>6.2745604740432823E-2</v>
      </c>
      <c r="I210" s="6">
        <v>1.0320721454950401</v>
      </c>
      <c r="K210" s="6">
        <f t="shared" si="9"/>
        <v>6.0795754457975887E-2</v>
      </c>
      <c r="L210" s="6">
        <f t="shared" si="8"/>
        <v>16.44851698799518</v>
      </c>
      <c r="M210" s="6">
        <v>1.5418994413407823</v>
      </c>
      <c r="N210" s="6">
        <v>0.64855072463768104</v>
      </c>
      <c r="Q210" s="12">
        <v>3.5000000000000003E-2</v>
      </c>
      <c r="U210" s="6"/>
    </row>
    <row r="211" spans="1:21" x14ac:dyDescent="0.2">
      <c r="A211">
        <v>42</v>
      </c>
      <c r="B211" s="5">
        <v>45191</v>
      </c>
      <c r="C211" s="17">
        <v>1</v>
      </c>
      <c r="D211" s="2">
        <v>19</v>
      </c>
      <c r="E211" s="2" t="s">
        <v>224</v>
      </c>
      <c r="F211" s="2">
        <v>2</v>
      </c>
      <c r="G211">
        <v>9</v>
      </c>
      <c r="H211" s="6">
        <v>4.8904662518278554E-2</v>
      </c>
      <c r="I211" s="6">
        <v>0.59968405207619602</v>
      </c>
      <c r="K211" s="6">
        <f t="shared" si="9"/>
        <v>8.1550713828328916E-2</v>
      </c>
      <c r="L211" s="6">
        <f t="shared" si="8"/>
        <v>12.262308360722431</v>
      </c>
      <c r="M211" s="6">
        <v>1.4999999999999998</v>
      </c>
      <c r="N211" s="6">
        <v>0.66666666666666674</v>
      </c>
      <c r="Q211" s="12">
        <v>3.3000000000000002E-2</v>
      </c>
      <c r="U211" s="6"/>
    </row>
    <row r="212" spans="1:21" x14ac:dyDescent="0.2">
      <c r="A212">
        <v>42</v>
      </c>
      <c r="B212" s="5">
        <v>45191</v>
      </c>
      <c r="C212" s="17">
        <v>1</v>
      </c>
      <c r="D212" s="2">
        <v>18</v>
      </c>
      <c r="E212" s="2" t="s">
        <v>225</v>
      </c>
      <c r="F212" s="2">
        <v>2</v>
      </c>
      <c r="G212">
        <v>20</v>
      </c>
      <c r="H212" s="6">
        <v>6.1822875258955891E-2</v>
      </c>
      <c r="I212" s="6">
        <v>0.96554164865869185</v>
      </c>
      <c r="K212" s="6">
        <f t="shared" si="9"/>
        <v>6.4029216497122413E-2</v>
      </c>
      <c r="L212" s="6">
        <f t="shared" si="8"/>
        <v>15.617870320886118</v>
      </c>
      <c r="M212" s="6">
        <v>1.0656565656565657</v>
      </c>
      <c r="N212" s="6">
        <v>0.74716981132075477</v>
      </c>
      <c r="Q212" s="12">
        <v>3.4799999999999998E-2</v>
      </c>
      <c r="U212" s="6"/>
    </row>
    <row r="213" spans="1:21" x14ac:dyDescent="0.2">
      <c r="A213">
        <v>42</v>
      </c>
      <c r="B213" s="5">
        <v>45191</v>
      </c>
      <c r="C213" s="17">
        <v>1</v>
      </c>
      <c r="D213" s="2">
        <v>17</v>
      </c>
      <c r="E213" s="2" t="s">
        <v>226</v>
      </c>
      <c r="F213" s="2">
        <v>2</v>
      </c>
      <c r="G213">
        <v>30</v>
      </c>
      <c r="H213" s="6">
        <v>8.1200194369971904E-2</v>
      </c>
      <c r="I213" s="6">
        <v>0.83201271577904834</v>
      </c>
      <c r="K213" s="6">
        <f t="shared" si="9"/>
        <v>9.7594895883220678E-2</v>
      </c>
      <c r="L213" s="6">
        <f t="shared" si="8"/>
        <v>10.246437489892626</v>
      </c>
      <c r="M213" s="6">
        <v>1.2792452830188679</v>
      </c>
      <c r="N213" s="6">
        <v>0.78171091445427732</v>
      </c>
      <c r="Q213" s="12">
        <v>3.56E-2</v>
      </c>
      <c r="U213" s="6"/>
    </row>
    <row r="214" spans="1:21" x14ac:dyDescent="0.2">
      <c r="A214">
        <v>42</v>
      </c>
      <c r="B214" s="5">
        <v>45191</v>
      </c>
      <c r="C214" s="17">
        <v>1</v>
      </c>
      <c r="D214" s="2">
        <v>16</v>
      </c>
      <c r="E214" s="2" t="s">
        <v>227</v>
      </c>
      <c r="F214" s="2">
        <v>2</v>
      </c>
      <c r="G214">
        <v>39</v>
      </c>
      <c r="H214" s="6">
        <v>8.9504759703264533E-2</v>
      </c>
      <c r="I214" s="6">
        <v>0.83927427959602297</v>
      </c>
      <c r="K214" s="6">
        <f t="shared" si="9"/>
        <v>0.1066454219785537</v>
      </c>
      <c r="L214" s="6">
        <f t="shared" si="8"/>
        <v>9.3768675808803028</v>
      </c>
      <c r="M214" s="6">
        <v>1.3222748815165875</v>
      </c>
      <c r="N214" s="6">
        <v>0.7562724014336919</v>
      </c>
      <c r="P214">
        <v>39</v>
      </c>
      <c r="Q214" s="13">
        <v>3.7400000000000003E-2</v>
      </c>
      <c r="U214" s="6"/>
    </row>
    <row r="215" spans="1:21" x14ac:dyDescent="0.2">
      <c r="A215">
        <v>42</v>
      </c>
      <c r="B215" s="5">
        <v>45191</v>
      </c>
      <c r="C215" s="17">
        <v>1</v>
      </c>
      <c r="D215" s="2">
        <v>15</v>
      </c>
      <c r="E215" s="2" t="s">
        <v>228</v>
      </c>
      <c r="F215" s="2">
        <v>2</v>
      </c>
      <c r="G215">
        <v>55</v>
      </c>
      <c r="H215" s="6">
        <v>6.8281981629294566E-2</v>
      </c>
      <c r="I215" s="6">
        <v>1.3067260933109914</v>
      </c>
      <c r="K215" s="6">
        <f t="shared" si="9"/>
        <v>5.2254242093139211E-2</v>
      </c>
      <c r="L215" s="6">
        <f t="shared" si="8"/>
        <v>19.137202262307738</v>
      </c>
      <c r="M215" s="6">
        <v>1.4240000000000002</v>
      </c>
      <c r="N215" s="6">
        <v>0.70224719101123589</v>
      </c>
      <c r="Q215" s="12">
        <v>3.5099999999999999E-2</v>
      </c>
      <c r="U215" s="6"/>
    </row>
    <row r="216" spans="1:21" x14ac:dyDescent="0.2">
      <c r="A216">
        <v>43</v>
      </c>
      <c r="B216" s="5">
        <v>45191</v>
      </c>
      <c r="C216" s="17">
        <v>1</v>
      </c>
      <c r="D216" s="2">
        <v>20</v>
      </c>
      <c r="E216" s="2" t="s">
        <v>236</v>
      </c>
      <c r="F216" s="2">
        <v>2</v>
      </c>
      <c r="G216">
        <v>3</v>
      </c>
      <c r="H216" s="6">
        <v>9.3195677629172344E-2</v>
      </c>
      <c r="I216" s="6">
        <v>1.2506801390105786</v>
      </c>
      <c r="K216" s="6">
        <f t="shared" si="9"/>
        <v>7.4515997114098301E-2</v>
      </c>
      <c r="L216" s="6">
        <f t="shared" si="8"/>
        <v>13.419937177634594</v>
      </c>
      <c r="M216" s="6">
        <v>1.6161971830985915</v>
      </c>
      <c r="N216" s="6">
        <v>0.61873638344226578</v>
      </c>
      <c r="Q216" s="12">
        <v>4.2999999999999997E-2</v>
      </c>
    </row>
    <row r="217" spans="1:21" x14ac:dyDescent="0.2">
      <c r="A217">
        <v>43</v>
      </c>
      <c r="B217" s="5">
        <v>45191</v>
      </c>
      <c r="C217" s="17">
        <v>1</v>
      </c>
      <c r="D217" s="2">
        <v>19</v>
      </c>
      <c r="E217" s="2" t="s">
        <v>235</v>
      </c>
      <c r="F217" s="2">
        <v>2</v>
      </c>
      <c r="G217">
        <v>10</v>
      </c>
      <c r="H217" s="6">
        <v>0.10426843140689575</v>
      </c>
      <c r="I217" s="6">
        <v>1.0631912548631584</v>
      </c>
      <c r="K217" s="6">
        <f t="shared" si="9"/>
        <v>9.8071189854092591E-2</v>
      </c>
      <c r="L217" s="6">
        <f t="shared" si="8"/>
        <v>10.196674492149736</v>
      </c>
      <c r="M217" s="6">
        <v>1.5849802371541502</v>
      </c>
      <c r="N217" s="6">
        <v>0.63092269326683292</v>
      </c>
      <c r="Q217" s="12">
        <v>4.3400000000000001E-2</v>
      </c>
    </row>
    <row r="218" spans="1:21" x14ac:dyDescent="0.2">
      <c r="A218">
        <v>43</v>
      </c>
      <c r="B218" s="5">
        <v>45191</v>
      </c>
      <c r="C218" s="17">
        <v>1</v>
      </c>
      <c r="D218" s="2">
        <v>18</v>
      </c>
      <c r="E218" s="2" t="s">
        <v>237</v>
      </c>
      <c r="F218" s="2">
        <v>2</v>
      </c>
      <c r="G218">
        <v>20</v>
      </c>
      <c r="H218" s="6">
        <v>9.042748918474143E-2</v>
      </c>
      <c r="I218" s="6">
        <v>1.3157128440560795</v>
      </c>
      <c r="K218" s="6">
        <f t="shared" si="9"/>
        <v>6.872889444931736E-2</v>
      </c>
      <c r="L218" s="6">
        <f t="shared" si="8"/>
        <v>14.549921223269909</v>
      </c>
      <c r="M218" s="6">
        <v>1.5022222222222221</v>
      </c>
      <c r="N218" s="6">
        <v>0.66568047337278113</v>
      </c>
      <c r="Q218" s="12">
        <v>3.9199999999999999E-2</v>
      </c>
    </row>
    <row r="219" spans="1:21" x14ac:dyDescent="0.2">
      <c r="A219">
        <v>43</v>
      </c>
      <c r="B219" s="5">
        <v>45191</v>
      </c>
      <c r="C219" s="17">
        <v>1</v>
      </c>
      <c r="D219" s="2">
        <v>17</v>
      </c>
      <c r="E219" s="2" t="s">
        <v>238</v>
      </c>
      <c r="F219" s="2">
        <v>2</v>
      </c>
      <c r="G219">
        <v>30</v>
      </c>
      <c r="H219" s="6">
        <v>0.16147765925846691</v>
      </c>
      <c r="I219" s="6">
        <v>1.312115900300179</v>
      </c>
      <c r="K219" s="6">
        <f t="shared" si="9"/>
        <v>0.12306661265329145</v>
      </c>
      <c r="L219" s="6">
        <f t="shared" si="8"/>
        <v>8.1256807060842977</v>
      </c>
      <c r="M219" s="6">
        <v>1.3616236162361623</v>
      </c>
      <c r="N219" s="6">
        <v>0.73441734417344184</v>
      </c>
      <c r="P219">
        <v>30</v>
      </c>
      <c r="Q219" s="13">
        <v>4.5199999999999997E-2</v>
      </c>
    </row>
    <row r="220" spans="1:21" x14ac:dyDescent="0.2">
      <c r="A220">
        <v>43</v>
      </c>
      <c r="B220" s="5">
        <v>45191</v>
      </c>
      <c r="C220" s="17">
        <v>1</v>
      </c>
      <c r="D220" s="2">
        <v>16</v>
      </c>
      <c r="E220" s="2" t="s">
        <v>239</v>
      </c>
      <c r="F220" s="2">
        <v>2</v>
      </c>
      <c r="G220">
        <v>40</v>
      </c>
      <c r="H220" s="6">
        <v>0.13656396325858916</v>
      </c>
      <c r="I220" s="6">
        <v>1.1761795950806273</v>
      </c>
      <c r="K220" s="6">
        <f t="shared" si="9"/>
        <v>0.11610808742964775</v>
      </c>
      <c r="L220" s="6">
        <f t="shared" si="8"/>
        <v>8.6126644761582209</v>
      </c>
      <c r="M220" s="6">
        <v>1.3899613899613901</v>
      </c>
      <c r="N220" s="6">
        <v>0.71944444444444444</v>
      </c>
      <c r="Q220" s="12">
        <v>4.3900000000000002E-2</v>
      </c>
    </row>
    <row r="221" spans="1:21" x14ac:dyDescent="0.2">
      <c r="A221">
        <v>43</v>
      </c>
      <c r="B221" s="5">
        <v>45191</v>
      </c>
      <c r="C221" s="17">
        <v>1</v>
      </c>
      <c r="D221" s="2">
        <v>15</v>
      </c>
      <c r="E221" s="2" t="s">
        <v>240</v>
      </c>
      <c r="F221" s="2">
        <v>2</v>
      </c>
      <c r="G221">
        <v>55</v>
      </c>
      <c r="H221" s="6">
        <v>7.6586546962587168E-2</v>
      </c>
      <c r="I221" s="6">
        <v>0.8418150729031888</v>
      </c>
      <c r="K221" s="6">
        <f t="shared" si="9"/>
        <v>9.0977875578375209E-2</v>
      </c>
      <c r="L221" s="6">
        <f t="shared" si="8"/>
        <v>10.99168334765659</v>
      </c>
      <c r="M221" s="6">
        <v>1.4689265536723164</v>
      </c>
      <c r="N221" s="6">
        <v>0.68076923076923079</v>
      </c>
      <c r="Q221" s="12">
        <v>3.5799999999999998E-2</v>
      </c>
    </row>
    <row r="222" spans="1:21" x14ac:dyDescent="0.2">
      <c r="A222">
        <v>44</v>
      </c>
      <c r="B222" s="5">
        <v>45191</v>
      </c>
      <c r="C222" s="17">
        <v>1</v>
      </c>
      <c r="D222" s="2">
        <v>20</v>
      </c>
      <c r="E222" s="2" t="s">
        <v>229</v>
      </c>
      <c r="F222" s="2">
        <v>2</v>
      </c>
      <c r="G222">
        <v>3</v>
      </c>
      <c r="H222" s="6">
        <v>0.10611389036984968</v>
      </c>
      <c r="I222" s="6">
        <v>0.76558934204512419</v>
      </c>
      <c r="K222" s="6">
        <f t="shared" si="9"/>
        <v>0.13860418966437921</v>
      </c>
      <c r="L222" s="6">
        <f t="shared" si="8"/>
        <v>7.2147891230520029</v>
      </c>
      <c r="M222" s="6">
        <v>1.7040816326530615</v>
      </c>
      <c r="N222" s="6">
        <v>0.58682634730538918</v>
      </c>
      <c r="Q222" s="12">
        <v>2.9399999999999999E-2</v>
      </c>
    </row>
    <row r="223" spans="1:21" x14ac:dyDescent="0.2">
      <c r="A223">
        <v>44</v>
      </c>
      <c r="B223" s="5">
        <v>45191</v>
      </c>
      <c r="C223" s="17">
        <v>1</v>
      </c>
      <c r="D223" s="2">
        <v>19</v>
      </c>
      <c r="E223" s="2" t="s">
        <v>230</v>
      </c>
      <c r="F223" s="2">
        <v>2</v>
      </c>
      <c r="G223">
        <v>10</v>
      </c>
      <c r="H223" s="6">
        <v>0.11810937362905005</v>
      </c>
      <c r="I223" s="6">
        <v>1.438503541397689</v>
      </c>
      <c r="K223" s="6">
        <f t="shared" si="9"/>
        <v>8.2105723225604152E-2</v>
      </c>
      <c r="L223" s="6">
        <f t="shared" si="8"/>
        <v>12.179418933467922</v>
      </c>
      <c r="M223" s="6">
        <v>1.671186440677966</v>
      </c>
      <c r="N223" s="6">
        <v>0.5983772819472617</v>
      </c>
      <c r="Q223" s="12">
        <v>3.4200000000000001E-2</v>
      </c>
    </row>
    <row r="224" spans="1:21" x14ac:dyDescent="0.2">
      <c r="A224">
        <v>44</v>
      </c>
      <c r="B224" s="5">
        <v>45191</v>
      </c>
      <c r="C224" s="17">
        <v>1</v>
      </c>
      <c r="D224" s="2">
        <v>18</v>
      </c>
      <c r="E224" s="2" t="s">
        <v>231</v>
      </c>
      <c r="F224" s="2">
        <v>2</v>
      </c>
      <c r="G224">
        <v>20</v>
      </c>
      <c r="H224" s="6">
        <v>0.18270043733243679</v>
      </c>
      <c r="I224" s="6">
        <v>1.3479689291105228</v>
      </c>
      <c r="K224" s="6">
        <f t="shared" si="9"/>
        <v>0.13553757314940068</v>
      </c>
      <c r="L224" s="6">
        <f t="shared" si="8"/>
        <v>7.378027928076575</v>
      </c>
      <c r="M224" s="6">
        <v>1.6025236593059937</v>
      </c>
      <c r="N224" s="6">
        <v>0.62401574803149606</v>
      </c>
      <c r="Q224" s="12">
        <v>4.1500000000000002E-2</v>
      </c>
    </row>
    <row r="225" spans="1:17" x14ac:dyDescent="0.2">
      <c r="A225">
        <v>44</v>
      </c>
      <c r="B225" s="5">
        <v>45191</v>
      </c>
      <c r="C225" s="17">
        <v>1</v>
      </c>
      <c r="D225" s="2">
        <v>17</v>
      </c>
      <c r="E225" s="2" t="s">
        <v>232</v>
      </c>
      <c r="F225" s="2">
        <v>2</v>
      </c>
      <c r="G225">
        <v>30</v>
      </c>
      <c r="H225" s="6">
        <v>0.17624133096209812</v>
      </c>
      <c r="I225" s="6">
        <v>1.4685796492494891</v>
      </c>
      <c r="K225" s="6">
        <f t="shared" si="9"/>
        <v>0.1200080166248834</v>
      </c>
      <c r="L225" s="6">
        <f t="shared" si="8"/>
        <v>8.3327766604606328</v>
      </c>
      <c r="M225" s="6">
        <v>1.4266666666666665</v>
      </c>
      <c r="N225" s="6">
        <v>0.70093457943925241</v>
      </c>
      <c r="Q225" s="12">
        <v>3.9100000000000003E-2</v>
      </c>
    </row>
    <row r="226" spans="1:17" x14ac:dyDescent="0.2">
      <c r="A226">
        <v>44</v>
      </c>
      <c r="B226" s="5">
        <v>45191</v>
      </c>
      <c r="C226" s="17">
        <v>1</v>
      </c>
      <c r="D226" s="2">
        <v>16</v>
      </c>
      <c r="E226" s="2" t="s">
        <v>233</v>
      </c>
      <c r="F226" s="2">
        <v>2</v>
      </c>
      <c r="G226">
        <v>40</v>
      </c>
      <c r="H226" s="6">
        <v>0.19100500266572945</v>
      </c>
      <c r="I226" s="6">
        <v>1.3344756540604745</v>
      </c>
      <c r="K226" s="6">
        <f t="shared" si="9"/>
        <v>0.14313112576055559</v>
      </c>
      <c r="L226" s="6">
        <f t="shared" si="8"/>
        <v>6.9866005363005561</v>
      </c>
      <c r="M226" s="6">
        <v>1.573076923076923</v>
      </c>
      <c r="N226" s="6">
        <v>0.63569682151589246</v>
      </c>
      <c r="P226">
        <v>40</v>
      </c>
      <c r="Q226" s="13">
        <v>4.24E-2</v>
      </c>
    </row>
    <row r="227" spans="1:17" x14ac:dyDescent="0.2">
      <c r="A227">
        <v>44</v>
      </c>
      <c r="B227" s="5">
        <v>45191</v>
      </c>
      <c r="C227" s="17">
        <v>1</v>
      </c>
      <c r="D227" s="2">
        <v>15</v>
      </c>
      <c r="E227" s="2" t="s">
        <v>234</v>
      </c>
      <c r="F227" s="2">
        <v>2</v>
      </c>
      <c r="G227">
        <v>55</v>
      </c>
      <c r="H227" s="6">
        <v>0.13748669274006609</v>
      </c>
      <c r="I227" s="6">
        <v>1.2115778336164409</v>
      </c>
      <c r="K227" s="6">
        <f t="shared" si="9"/>
        <v>0.11347739198040774</v>
      </c>
      <c r="L227" s="6">
        <f t="shared" si="8"/>
        <v>8.8123280113157119</v>
      </c>
      <c r="M227" s="6">
        <v>1.6845238095238095</v>
      </c>
      <c r="N227" s="6">
        <v>0.59363957597173145</v>
      </c>
      <c r="Q227" s="12">
        <v>3.8800000000000001E-2</v>
      </c>
    </row>
    <row r="228" spans="1:17" x14ac:dyDescent="0.2">
      <c r="A228">
        <v>45</v>
      </c>
      <c r="B228" s="5">
        <v>45191</v>
      </c>
      <c r="C228" s="17">
        <v>1</v>
      </c>
      <c r="D228" s="2">
        <v>24</v>
      </c>
      <c r="E228" s="2" t="s">
        <v>241</v>
      </c>
      <c r="F228" s="2">
        <v>2</v>
      </c>
      <c r="G228">
        <v>2</v>
      </c>
      <c r="H228" s="6">
        <v>9.9654783999510971E-2</v>
      </c>
      <c r="I228" s="6">
        <v>1.1196919994381012</v>
      </c>
      <c r="K228" s="6">
        <f t="shared" si="9"/>
        <v>8.9001961297857868E-2</v>
      </c>
      <c r="L228" s="6">
        <f t="shared" si="8"/>
        <v>11.235707454281329</v>
      </c>
      <c r="M228" s="6">
        <v>1.4595744680851062</v>
      </c>
      <c r="N228" s="6">
        <v>0.685131195335277</v>
      </c>
      <c r="Q228" s="12">
        <v>4.1599999999999998E-2</v>
      </c>
    </row>
    <row r="229" spans="1:17" x14ac:dyDescent="0.2">
      <c r="A229">
        <v>45</v>
      </c>
      <c r="B229" s="5">
        <v>45191</v>
      </c>
      <c r="C229" s="17">
        <v>1</v>
      </c>
      <c r="D229" s="2">
        <v>23</v>
      </c>
      <c r="E229" s="2" t="s">
        <v>242</v>
      </c>
      <c r="F229" s="2">
        <v>2</v>
      </c>
      <c r="G229">
        <v>10</v>
      </c>
      <c r="H229" s="6">
        <v>0.14302306962892786</v>
      </c>
      <c r="I229" s="6">
        <v>1.3201930704962066</v>
      </c>
      <c r="K229" s="6">
        <f t="shared" si="9"/>
        <v>0.10833496465420117</v>
      </c>
      <c r="L229" s="6">
        <f t="shared" si="8"/>
        <v>9.2306302327410279</v>
      </c>
      <c r="M229" s="6">
        <v>1.5496453900709222</v>
      </c>
      <c r="N229" s="6">
        <v>0.64530892448512578</v>
      </c>
      <c r="Q229" s="12">
        <v>4.07E-2</v>
      </c>
    </row>
    <row r="230" spans="1:17" x14ac:dyDescent="0.2">
      <c r="A230">
        <v>45</v>
      </c>
      <c r="B230" s="5">
        <v>45191</v>
      </c>
      <c r="C230" s="17">
        <v>1</v>
      </c>
      <c r="D230" s="2">
        <v>22</v>
      </c>
      <c r="E230" s="2" t="s">
        <v>243</v>
      </c>
      <c r="F230" s="2">
        <v>2</v>
      </c>
      <c r="G230">
        <v>20</v>
      </c>
      <c r="H230" s="6">
        <v>0.1817777078509599</v>
      </c>
      <c r="I230" s="6">
        <v>1.8158755331000214</v>
      </c>
      <c r="K230" s="6">
        <f t="shared" si="9"/>
        <v>0.10010471782756671</v>
      </c>
      <c r="L230" s="6">
        <f t="shared" si="8"/>
        <v>9.989539171595581</v>
      </c>
      <c r="M230" s="6">
        <v>1.5116883116883117</v>
      </c>
      <c r="N230" s="6">
        <v>0.66151202749140892</v>
      </c>
      <c r="P230">
        <v>20</v>
      </c>
      <c r="Q230" s="13">
        <v>5.5599999999999997E-2</v>
      </c>
    </row>
    <row r="231" spans="1:17" x14ac:dyDescent="0.2">
      <c r="A231">
        <v>45</v>
      </c>
      <c r="B231" s="5">
        <v>45191</v>
      </c>
      <c r="C231" s="17">
        <v>1</v>
      </c>
      <c r="D231" s="2">
        <v>21</v>
      </c>
      <c r="E231" s="2" t="s">
        <v>244</v>
      </c>
      <c r="F231" s="2">
        <v>2</v>
      </c>
      <c r="G231">
        <v>30</v>
      </c>
      <c r="H231" s="6">
        <v>0.15686401185108212</v>
      </c>
      <c r="I231" s="6">
        <v>1.4516360003432147</v>
      </c>
      <c r="K231" s="6">
        <f t="shared" si="9"/>
        <v>0.10806015544805604</v>
      </c>
      <c r="L231" s="6">
        <f t="shared" ref="L231:L233" si="10">I231/H231</f>
        <v>9.254104770196216</v>
      </c>
      <c r="M231" s="6">
        <v>1.5483870967741935</v>
      </c>
      <c r="N231" s="6">
        <v>0.64583333333333337</v>
      </c>
      <c r="Q231" s="12">
        <v>4.1700000000000001E-2</v>
      </c>
    </row>
    <row r="232" spans="1:17" x14ac:dyDescent="0.2">
      <c r="A232">
        <v>45</v>
      </c>
      <c r="B232" s="5">
        <v>45191</v>
      </c>
      <c r="C232" s="17">
        <v>1</v>
      </c>
      <c r="D232" s="2">
        <v>20</v>
      </c>
      <c r="E232" s="2" t="s">
        <v>245</v>
      </c>
      <c r="F232" s="2">
        <v>2</v>
      </c>
      <c r="G232">
        <v>40</v>
      </c>
      <c r="H232" s="6">
        <v>0.14302306962892783</v>
      </c>
      <c r="I232" s="6">
        <v>1.0970785526757074</v>
      </c>
      <c r="K232" s="6">
        <f t="shared" si="9"/>
        <v>0.13036720960418313</v>
      </c>
      <c r="L232" s="6">
        <f t="shared" si="10"/>
        <v>7.670640516401086</v>
      </c>
      <c r="M232" s="6">
        <v>1.6485355648535565</v>
      </c>
      <c r="N232" s="6">
        <v>0.60659898477157359</v>
      </c>
      <c r="Q232" s="12">
        <v>4.5900000000000003E-2</v>
      </c>
    </row>
    <row r="233" spans="1:17" x14ac:dyDescent="0.2">
      <c r="A233">
        <v>45</v>
      </c>
      <c r="B233" s="5">
        <v>45191</v>
      </c>
      <c r="C233" s="17">
        <v>1</v>
      </c>
      <c r="D233" s="2">
        <v>19</v>
      </c>
      <c r="E233" s="2" t="s">
        <v>246</v>
      </c>
      <c r="F233" s="2">
        <v>2</v>
      </c>
      <c r="G233">
        <v>55</v>
      </c>
      <c r="H233" s="6">
        <v>7.5663817481110202E-2</v>
      </c>
      <c r="I233" s="6">
        <v>0.57292489711336436</v>
      </c>
      <c r="K233" s="6">
        <f t="shared" si="9"/>
        <v>0.13206585690783593</v>
      </c>
      <c r="L233" s="6">
        <f t="shared" si="10"/>
        <v>7.5719797941254754</v>
      </c>
      <c r="M233" s="6">
        <v>1.6559999999999999</v>
      </c>
      <c r="N233" s="6">
        <v>0.60386473429951693</v>
      </c>
      <c r="Q233" s="12">
        <v>3.1E-2</v>
      </c>
    </row>
  </sheetData>
  <mergeCells count="1">
    <mergeCell ref="Q1:Q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Laura Kelly</cp:lastModifiedBy>
  <dcterms:created xsi:type="dcterms:W3CDTF">2025-02-21T21:11:28Z</dcterms:created>
  <dcterms:modified xsi:type="dcterms:W3CDTF">2026-04-03T13:38:12Z</dcterms:modified>
</cp:coreProperties>
</file>