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G:\Shared drives\NABOS\Data\Hydrochemistry\2023\"/>
    </mc:Choice>
  </mc:AlternateContent>
  <xr:revisionPtr revIDLastSave="0" documentId="8_{E85E910D-068A-4D8F-972D-2AC4BAB9AAAF}" xr6:coauthVersionLast="47" xr6:coauthVersionMax="47" xr10:uidLastSave="{00000000-0000-0000-0000-000000000000}"/>
  <bookViews>
    <workbookView xWindow="18559" yWindow="3709" windowWidth="17844" windowHeight="1792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4" i="1" l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</calcChain>
</file>

<file path=xl/sharedStrings.xml><?xml version="1.0" encoding="utf-8"?>
<sst xmlns="http://schemas.openxmlformats.org/spreadsheetml/2006/main" count="89" uniqueCount="60">
  <si>
    <t>Cruise</t>
  </si>
  <si>
    <t>Event</t>
  </si>
  <si>
    <t>Station</t>
  </si>
  <si>
    <t>Cast</t>
  </si>
  <si>
    <t>Niskin</t>
  </si>
  <si>
    <t>SampleID</t>
  </si>
  <si>
    <t>Latitude</t>
  </si>
  <si>
    <t>Longitude</t>
  </si>
  <si>
    <t>Pressure</t>
  </si>
  <si>
    <t>Depth</t>
  </si>
  <si>
    <t>Temp1</t>
  </si>
  <si>
    <t>Temp2</t>
  </si>
  <si>
    <t>Sal1</t>
  </si>
  <si>
    <t>Sal2</t>
  </si>
  <si>
    <t>Ox1</t>
  </si>
  <si>
    <t>Ox2</t>
  </si>
  <si>
    <t>Fluor</t>
  </si>
  <si>
    <t>Turbidity</t>
  </si>
  <si>
    <t>Oxygen</t>
  </si>
  <si>
    <t>Oxygen.Flag</t>
  </si>
  <si>
    <t>Silicate</t>
  </si>
  <si>
    <t>Silicate.Flag</t>
  </si>
  <si>
    <t>Phosphate</t>
  </si>
  <si>
    <t>Phosphate.Flag</t>
  </si>
  <si>
    <t>Nitrate</t>
  </si>
  <si>
    <t>Nitrate.Flag</t>
  </si>
  <si>
    <t>Nitrite</t>
  </si>
  <si>
    <t>Nitrite.Flag</t>
  </si>
  <si>
    <t>Ammonia</t>
  </si>
  <si>
    <t>Ammonia.Flag</t>
  </si>
  <si>
    <t>Nitrogen</t>
  </si>
  <si>
    <t>Nitrogen.Flag</t>
  </si>
  <si>
    <t>NABOS2023</t>
  </si>
  <si>
    <t>21-000082</t>
  </si>
  <si>
    <t>21-000076</t>
  </si>
  <si>
    <t>21-000075</t>
  </si>
  <si>
    <t>21-000098</t>
  </si>
  <si>
    <t>21-000096</t>
  </si>
  <si>
    <t>21-000119</t>
  </si>
  <si>
    <t>21-000162</t>
  </si>
  <si>
    <t>21-000161</t>
  </si>
  <si>
    <t>21-000186</t>
  </si>
  <si>
    <t>21-000220</t>
  </si>
  <si>
    <t>21-000203</t>
  </si>
  <si>
    <t>21-000266</t>
  </si>
  <si>
    <t>21-000293</t>
  </si>
  <si>
    <t>21-000313</t>
  </si>
  <si>
    <t>21-000306</t>
  </si>
  <si>
    <t>21-000399</t>
  </si>
  <si>
    <t>21-000393</t>
  </si>
  <si>
    <t>21-000419</t>
  </si>
  <si>
    <t>21-000418</t>
  </si>
  <si>
    <t>21-000417</t>
  </si>
  <si>
    <t>21-000416</t>
  </si>
  <si>
    <t>21-000415</t>
  </si>
  <si>
    <t>21-000634</t>
  </si>
  <si>
    <t xml:space="preserve">this one is so different I bet I assigned the wrong bottle number to the data </t>
  </si>
  <si>
    <t>Rerun samplew for NABOS 2023</t>
  </si>
  <si>
    <t>Original data</t>
  </si>
  <si>
    <t>Rerun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</si>
</sst>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 applyAlignment="1">
      <alignment horizontal="center"/>
    </xf>
    <xf numFmtId="0" fontId="1" fillId="0" borderId="0" xfId="0" applyFont="1"/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6"/>
  <sheetViews>
    <sheetView tabSelected="1" workbookViewId="0">
      <selection activeCell="AG10" sqref="AG10"/>
    </sheetView>
  </sheetViews>
  <sheetFormatPr defaultColWidth="11.3984375" defaultRowHeight="14.4" x14ac:dyDescent="0.3"/>
  <cols>
    <col min="2" max="5" width="0" hidden="1" customWidth="1"/>
    <col min="7" max="20" width="0" hidden="1" customWidth="1"/>
    <col min="33" max="33" width="16" customWidth="1"/>
  </cols>
  <sheetData>
    <row r="1" spans="1:39" x14ac:dyDescent="0.3">
      <c r="U1" t="s">
        <v>57</v>
      </c>
    </row>
    <row r="2" spans="1:39" ht="27.1" customHeight="1" x14ac:dyDescent="0.3">
      <c r="U2" s="6" t="s">
        <v>58</v>
      </c>
      <c r="AG2" s="6" t="s">
        <v>59</v>
      </c>
    </row>
    <row r="3" spans="1:3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5</v>
      </c>
      <c r="AH3" t="s">
        <v>20</v>
      </c>
      <c r="AI3" t="s">
        <v>22</v>
      </c>
      <c r="AJ3" t="s">
        <v>24</v>
      </c>
      <c r="AK3" t="s">
        <v>26</v>
      </c>
      <c r="AL3" t="s">
        <v>28</v>
      </c>
      <c r="AM3" t="s">
        <v>30</v>
      </c>
    </row>
    <row r="4" spans="1:39" x14ac:dyDescent="0.3">
      <c r="A4" t="s">
        <v>32</v>
      </c>
      <c r="C4">
        <v>8</v>
      </c>
      <c r="D4">
        <v>1</v>
      </c>
      <c r="E4">
        <v>11</v>
      </c>
      <c r="F4" t="s">
        <v>33</v>
      </c>
      <c r="G4">
        <v>76.042860000000005</v>
      </c>
      <c r="H4">
        <v>176.84880000000001</v>
      </c>
      <c r="I4">
        <v>151.15899999999999</v>
      </c>
      <c r="J4">
        <v>149.52699999999999</v>
      </c>
      <c r="K4">
        <v>-0.47389999999999999</v>
      </c>
      <c r="L4">
        <v>-0.47310000000000002</v>
      </c>
      <c r="M4">
        <v>34.456299999999999</v>
      </c>
      <c r="N4">
        <v>34.456299999999999</v>
      </c>
      <c r="U4">
        <v>7.8979999999999997</v>
      </c>
      <c r="V4">
        <v>4</v>
      </c>
      <c r="W4">
        <v>0.63600000000000001</v>
      </c>
      <c r="X4">
        <v>2</v>
      </c>
      <c r="Y4">
        <v>5.9211999999999998</v>
      </c>
      <c r="Z4">
        <v>4</v>
      </c>
      <c r="AA4">
        <v>4.7E-2</v>
      </c>
      <c r="AB4">
        <v>2</v>
      </c>
      <c r="AC4">
        <v>0.26400000000000001</v>
      </c>
      <c r="AD4">
        <v>2</v>
      </c>
      <c r="AE4">
        <v>5.9682000000000004</v>
      </c>
      <c r="AF4">
        <v>4</v>
      </c>
      <c r="AG4">
        <v>82</v>
      </c>
      <c r="AH4" s="1">
        <v>7.649</v>
      </c>
      <c r="AI4" s="1">
        <v>0.59599999999999997</v>
      </c>
      <c r="AJ4" s="1">
        <v>5.9598000000000004</v>
      </c>
      <c r="AK4" s="1">
        <v>3.2000000000000001E-2</v>
      </c>
      <c r="AL4" s="1">
        <v>0.432</v>
      </c>
      <c r="AM4" s="5">
        <f t="shared" ref="AM4:AM11" si="0">AJ4+AK4</f>
        <v>5.9918000000000005</v>
      </c>
    </row>
    <row r="5" spans="1:39" x14ac:dyDescent="0.3">
      <c r="A5" t="s">
        <v>32</v>
      </c>
      <c r="C5">
        <v>8</v>
      </c>
      <c r="D5">
        <v>1</v>
      </c>
      <c r="E5">
        <v>17</v>
      </c>
      <c r="F5" t="s">
        <v>34</v>
      </c>
      <c r="G5">
        <v>76.042119999999997</v>
      </c>
      <c r="H5">
        <v>176.84235000000001</v>
      </c>
      <c r="I5">
        <v>55.674999999999997</v>
      </c>
      <c r="J5">
        <v>55.087000000000003</v>
      </c>
      <c r="K5">
        <v>-1.4395</v>
      </c>
      <c r="L5">
        <v>-1.4415</v>
      </c>
      <c r="M5">
        <v>33.093899999999998</v>
      </c>
      <c r="N5">
        <v>33.083399999999997</v>
      </c>
      <c r="U5">
        <v>8.7439999999999998</v>
      </c>
      <c r="V5">
        <v>2</v>
      </c>
      <c r="W5">
        <v>0.59199999999999997</v>
      </c>
      <c r="X5">
        <v>2</v>
      </c>
      <c r="Y5">
        <v>4.2656000000000001</v>
      </c>
      <c r="Z5">
        <v>4</v>
      </c>
      <c r="AA5">
        <v>0.05</v>
      </c>
      <c r="AB5">
        <v>2</v>
      </c>
      <c r="AC5">
        <v>0.34100000000000003</v>
      </c>
      <c r="AD5">
        <v>2</v>
      </c>
      <c r="AE5">
        <v>4.3155999999999999</v>
      </c>
      <c r="AF5">
        <v>2</v>
      </c>
      <c r="AG5">
        <v>76</v>
      </c>
      <c r="AH5" s="1">
        <v>8.6959999999999997</v>
      </c>
      <c r="AI5" s="1">
        <v>0.60499999999999998</v>
      </c>
      <c r="AJ5" s="1">
        <v>4.9478</v>
      </c>
      <c r="AK5" s="1">
        <v>5.1999999999999998E-2</v>
      </c>
      <c r="AL5" s="1">
        <v>0.68400000000000005</v>
      </c>
      <c r="AM5" s="5">
        <f t="shared" si="0"/>
        <v>4.9997999999999996</v>
      </c>
    </row>
    <row r="6" spans="1:39" x14ac:dyDescent="0.3">
      <c r="A6" t="s">
        <v>32</v>
      </c>
      <c r="C6">
        <v>8</v>
      </c>
      <c r="D6">
        <v>1</v>
      </c>
      <c r="E6">
        <v>18</v>
      </c>
      <c r="F6" t="s">
        <v>35</v>
      </c>
      <c r="G6">
        <v>76.042019999999994</v>
      </c>
      <c r="H6">
        <v>176.84129999999999</v>
      </c>
      <c r="I6">
        <v>40.307000000000002</v>
      </c>
      <c r="J6">
        <v>39.881999999999998</v>
      </c>
      <c r="K6">
        <v>-1.5913999999999999</v>
      </c>
      <c r="L6">
        <v>-1.5914999999999999</v>
      </c>
      <c r="M6">
        <v>32.087899999999998</v>
      </c>
      <c r="N6">
        <v>32.084699999999998</v>
      </c>
      <c r="U6">
        <v>22.561</v>
      </c>
      <c r="V6">
        <v>3</v>
      </c>
      <c r="W6">
        <v>1.113</v>
      </c>
      <c r="X6">
        <v>3</v>
      </c>
      <c r="Y6">
        <v>7.3634000000000004</v>
      </c>
      <c r="Z6">
        <v>3</v>
      </c>
      <c r="AA6">
        <v>0.08</v>
      </c>
      <c r="AB6">
        <v>2</v>
      </c>
      <c r="AC6">
        <v>0.249</v>
      </c>
      <c r="AD6">
        <v>2</v>
      </c>
      <c r="AE6">
        <v>7.4433999999999996</v>
      </c>
      <c r="AF6">
        <v>2</v>
      </c>
      <c r="AG6">
        <v>75</v>
      </c>
      <c r="AH6" s="1">
        <v>22.189</v>
      </c>
      <c r="AI6" s="1">
        <v>1.0895000000000001</v>
      </c>
      <c r="AJ6" s="1">
        <v>7.4678000000000004</v>
      </c>
      <c r="AK6" s="1">
        <v>0.06</v>
      </c>
      <c r="AL6" s="1">
        <v>0.66349999999999998</v>
      </c>
      <c r="AM6" s="5">
        <f t="shared" si="0"/>
        <v>7.5278</v>
      </c>
    </row>
    <row r="7" spans="1:39" x14ac:dyDescent="0.3">
      <c r="A7" t="s">
        <v>32</v>
      </c>
      <c r="C7">
        <v>9</v>
      </c>
      <c r="D7">
        <v>3</v>
      </c>
      <c r="E7">
        <v>16</v>
      </c>
      <c r="F7" t="s">
        <v>36</v>
      </c>
      <c r="G7">
        <v>76.322819999999993</v>
      </c>
      <c r="H7">
        <v>178.52628999999999</v>
      </c>
      <c r="I7">
        <v>55.433999999999997</v>
      </c>
      <c r="J7">
        <v>54.847000000000001</v>
      </c>
      <c r="K7">
        <v>-1.462</v>
      </c>
      <c r="L7">
        <v>-1.4619</v>
      </c>
      <c r="M7">
        <v>33.1462</v>
      </c>
      <c r="N7">
        <v>33.1449</v>
      </c>
      <c r="U7">
        <v>15.923999999999999</v>
      </c>
      <c r="V7">
        <v>2</v>
      </c>
      <c r="W7">
        <v>0.76900000000000002</v>
      </c>
      <c r="X7">
        <v>2</v>
      </c>
      <c r="Y7">
        <v>7.5301</v>
      </c>
      <c r="Z7">
        <v>3</v>
      </c>
      <c r="AA7">
        <v>5.3999999999999999E-2</v>
      </c>
      <c r="AB7">
        <v>2</v>
      </c>
      <c r="AC7">
        <v>0.30399999999999999</v>
      </c>
      <c r="AD7">
        <v>2</v>
      </c>
      <c r="AE7">
        <v>7.5841000000000003</v>
      </c>
      <c r="AF7">
        <v>3</v>
      </c>
      <c r="AG7">
        <v>98</v>
      </c>
      <c r="AH7" s="1">
        <v>15.529</v>
      </c>
      <c r="AI7" s="1">
        <v>0.77800000000000002</v>
      </c>
      <c r="AJ7" s="1">
        <v>6.851</v>
      </c>
      <c r="AK7" s="1">
        <v>2.5000000000000001E-2</v>
      </c>
      <c r="AL7" s="1">
        <v>0.66100000000000003</v>
      </c>
      <c r="AM7" s="5">
        <f t="shared" si="0"/>
        <v>6.8760000000000003</v>
      </c>
    </row>
    <row r="8" spans="1:39" x14ac:dyDescent="0.3">
      <c r="A8" t="s">
        <v>32</v>
      </c>
      <c r="C8">
        <v>9</v>
      </c>
      <c r="D8">
        <v>3</v>
      </c>
      <c r="E8">
        <v>19</v>
      </c>
      <c r="F8" t="s">
        <v>37</v>
      </c>
      <c r="G8">
        <v>76.322460000000007</v>
      </c>
      <c r="H8">
        <v>178.52584999999999</v>
      </c>
      <c r="I8">
        <v>30.300999999999998</v>
      </c>
      <c r="J8">
        <v>29.981999999999999</v>
      </c>
      <c r="K8">
        <v>-1.3008999999999999</v>
      </c>
      <c r="L8">
        <v>-1.2921</v>
      </c>
      <c r="M8">
        <v>30.8354</v>
      </c>
      <c r="N8">
        <v>30.8323</v>
      </c>
      <c r="U8">
        <v>7.569</v>
      </c>
      <c r="V8">
        <v>3</v>
      </c>
      <c r="W8">
        <v>0.71099999999999997</v>
      </c>
      <c r="X8">
        <v>2</v>
      </c>
      <c r="Y8">
        <v>0.62829999999999997</v>
      </c>
      <c r="Z8">
        <v>2</v>
      </c>
      <c r="AA8">
        <v>0.124</v>
      </c>
      <c r="AB8">
        <v>2</v>
      </c>
      <c r="AC8">
        <v>0.27800000000000002</v>
      </c>
      <c r="AD8">
        <v>2</v>
      </c>
      <c r="AE8">
        <v>0.75229999999999997</v>
      </c>
      <c r="AF8">
        <v>2</v>
      </c>
      <c r="AG8">
        <v>96</v>
      </c>
      <c r="AH8" s="1">
        <v>7.56</v>
      </c>
      <c r="AI8" s="1">
        <v>0.70399999999999996</v>
      </c>
      <c r="AJ8" s="1">
        <v>0.65259999999999996</v>
      </c>
      <c r="AK8" s="1">
        <v>7.1999999999999995E-2</v>
      </c>
      <c r="AL8" s="1">
        <v>1.026</v>
      </c>
      <c r="AM8" s="5">
        <f t="shared" si="0"/>
        <v>0.72459999999999991</v>
      </c>
    </row>
    <row r="9" spans="1:39" x14ac:dyDescent="0.3">
      <c r="A9" t="s">
        <v>32</v>
      </c>
      <c r="C9">
        <v>10</v>
      </c>
      <c r="D9">
        <v>1</v>
      </c>
      <c r="E9">
        <v>16</v>
      </c>
      <c r="F9" t="s">
        <v>38</v>
      </c>
      <c r="G9">
        <v>76.593819999999994</v>
      </c>
      <c r="H9">
        <v>-179.77497</v>
      </c>
      <c r="I9">
        <v>70.626999999999995</v>
      </c>
      <c r="J9">
        <v>69.876999999999995</v>
      </c>
      <c r="K9">
        <v>-1.2685</v>
      </c>
      <c r="L9">
        <v>-1.2694000000000001</v>
      </c>
      <c r="M9">
        <v>33.555500000000002</v>
      </c>
      <c r="N9">
        <v>33.5535</v>
      </c>
      <c r="U9">
        <v>9.59</v>
      </c>
      <c r="V9">
        <v>3</v>
      </c>
      <c r="W9">
        <v>0.628</v>
      </c>
      <c r="X9">
        <v>3</v>
      </c>
      <c r="Y9">
        <v>7.2249999999999996</v>
      </c>
      <c r="Z9">
        <v>3</v>
      </c>
      <c r="AA9">
        <v>8.3000000000000004E-2</v>
      </c>
      <c r="AB9">
        <v>3</v>
      </c>
      <c r="AC9">
        <v>0.23400000000000001</v>
      </c>
      <c r="AD9">
        <v>3</v>
      </c>
      <c r="AE9">
        <v>7.3079999999999998</v>
      </c>
      <c r="AF9">
        <v>3</v>
      </c>
      <c r="AG9">
        <v>119</v>
      </c>
      <c r="AH9" s="1">
        <v>9.625</v>
      </c>
      <c r="AI9" s="1">
        <v>0.49099999999999999</v>
      </c>
      <c r="AJ9" s="1">
        <v>7.4950000000000001</v>
      </c>
      <c r="AK9" s="1">
        <v>6.3E-2</v>
      </c>
      <c r="AL9" s="1">
        <v>0.68400000000000005</v>
      </c>
      <c r="AM9" s="5">
        <f t="shared" si="0"/>
        <v>7.5579999999999998</v>
      </c>
    </row>
    <row r="10" spans="1:39" x14ac:dyDescent="0.3">
      <c r="A10" t="s">
        <v>32</v>
      </c>
      <c r="C10">
        <v>12</v>
      </c>
      <c r="D10">
        <v>1</v>
      </c>
      <c r="E10">
        <v>13</v>
      </c>
      <c r="F10" t="s">
        <v>39</v>
      </c>
      <c r="G10">
        <v>77.393360000000001</v>
      </c>
      <c r="H10">
        <v>-176.15538000000001</v>
      </c>
      <c r="I10">
        <v>56.167000000000002</v>
      </c>
      <c r="J10">
        <v>55.570999999999998</v>
      </c>
      <c r="K10">
        <v>-1.7093</v>
      </c>
      <c r="L10">
        <v>-1.7102999999999999</v>
      </c>
      <c r="M10">
        <v>32.255200000000002</v>
      </c>
      <c r="N10">
        <v>32.252299999999998</v>
      </c>
      <c r="U10">
        <v>15.888999999999999</v>
      </c>
      <c r="V10">
        <v>3</v>
      </c>
      <c r="W10">
        <v>1.22</v>
      </c>
      <c r="X10">
        <v>3</v>
      </c>
      <c r="Y10">
        <v>8.2138000000000009</v>
      </c>
      <c r="Z10">
        <v>3</v>
      </c>
      <c r="AA10">
        <v>8.7999999999999995E-2</v>
      </c>
      <c r="AB10">
        <v>3</v>
      </c>
      <c r="AC10">
        <v>0.19900000000000001</v>
      </c>
      <c r="AD10">
        <v>3</v>
      </c>
      <c r="AE10">
        <v>8.3018000000000001</v>
      </c>
      <c r="AF10">
        <v>3</v>
      </c>
      <c r="AG10">
        <v>162</v>
      </c>
      <c r="AH10" s="1">
        <v>15.502000000000001</v>
      </c>
      <c r="AI10" s="1">
        <v>1.101</v>
      </c>
      <c r="AJ10" s="1">
        <v>7.8464</v>
      </c>
      <c r="AK10" s="1">
        <v>9.2999999999999999E-2</v>
      </c>
      <c r="AL10" s="1">
        <v>0.35799999999999998</v>
      </c>
      <c r="AM10" s="5">
        <f t="shared" si="0"/>
        <v>7.9394</v>
      </c>
    </row>
    <row r="11" spans="1:39" x14ac:dyDescent="0.3">
      <c r="A11" t="s">
        <v>32</v>
      </c>
      <c r="C11">
        <v>12</v>
      </c>
      <c r="D11">
        <v>1</v>
      </c>
      <c r="E11">
        <v>14</v>
      </c>
      <c r="F11" t="s">
        <v>40</v>
      </c>
      <c r="G11">
        <v>77.392989999999998</v>
      </c>
      <c r="H11">
        <v>-176.15303</v>
      </c>
      <c r="I11">
        <v>40.741</v>
      </c>
      <c r="J11">
        <v>40.308999999999997</v>
      </c>
      <c r="K11">
        <v>-1.6295999999999999</v>
      </c>
      <c r="L11">
        <v>-1.6297999999999999</v>
      </c>
      <c r="M11">
        <v>32.046100000000003</v>
      </c>
      <c r="N11">
        <v>32.042299999999997</v>
      </c>
      <c r="U11">
        <v>13.076000000000001</v>
      </c>
      <c r="V11">
        <v>3</v>
      </c>
      <c r="W11">
        <v>1.167</v>
      </c>
      <c r="X11">
        <v>3</v>
      </c>
      <c r="Y11">
        <v>6.8023999999999996</v>
      </c>
      <c r="Z11">
        <v>3</v>
      </c>
      <c r="AA11">
        <v>0.377</v>
      </c>
      <c r="AB11">
        <v>3</v>
      </c>
      <c r="AC11">
        <v>0.441</v>
      </c>
      <c r="AD11">
        <v>3</v>
      </c>
      <c r="AE11">
        <v>7.1794000000000002</v>
      </c>
      <c r="AF11">
        <v>3</v>
      </c>
      <c r="AG11">
        <v>161</v>
      </c>
      <c r="AH11" s="1">
        <v>12.750999999999999</v>
      </c>
      <c r="AI11" s="1">
        <v>1.1040000000000001</v>
      </c>
      <c r="AJ11" s="1">
        <v>6.5166000000000004</v>
      </c>
      <c r="AK11" s="1">
        <v>0.19500000000000001</v>
      </c>
      <c r="AL11" s="1">
        <v>0.91200000000000003</v>
      </c>
      <c r="AM11" s="5">
        <f t="shared" si="0"/>
        <v>6.7116000000000007</v>
      </c>
    </row>
    <row r="12" spans="1:39" x14ac:dyDescent="0.3">
      <c r="A12" t="s">
        <v>32</v>
      </c>
      <c r="C12">
        <v>13</v>
      </c>
      <c r="D12">
        <v>1</v>
      </c>
      <c r="E12">
        <v>12</v>
      </c>
      <c r="F12" t="s">
        <v>41</v>
      </c>
      <c r="G12">
        <v>77.770759999999996</v>
      </c>
      <c r="H12">
        <v>-174.31498999999999</v>
      </c>
      <c r="I12">
        <v>116.55</v>
      </c>
      <c r="J12">
        <v>115.29300000000001</v>
      </c>
      <c r="K12">
        <v>-1.3025</v>
      </c>
      <c r="L12">
        <v>-1.3030999999999999</v>
      </c>
      <c r="M12">
        <v>33.651499999999999</v>
      </c>
      <c r="N12">
        <v>33.648699999999998</v>
      </c>
      <c r="U12">
        <v>31.175999999999998</v>
      </c>
      <c r="V12">
        <v>3</v>
      </c>
      <c r="W12">
        <v>1.34</v>
      </c>
      <c r="X12">
        <v>3</v>
      </c>
      <c r="Y12">
        <v>12.7408</v>
      </c>
      <c r="Z12">
        <v>3</v>
      </c>
      <c r="AA12">
        <v>8.9999999999999993E-3</v>
      </c>
      <c r="AB12">
        <v>2</v>
      </c>
      <c r="AC12">
        <v>0.14199999999999999</v>
      </c>
      <c r="AD12">
        <v>2</v>
      </c>
      <c r="AE12">
        <v>12.7498</v>
      </c>
      <c r="AF12">
        <v>3</v>
      </c>
      <c r="AG12">
        <v>186</v>
      </c>
      <c r="AH12" s="1">
        <v>31.119</v>
      </c>
      <c r="AI12" s="1">
        <v>1.367</v>
      </c>
      <c r="AJ12" s="1">
        <v>12.4809</v>
      </c>
      <c r="AK12" s="1">
        <v>2.8000000000000001E-2</v>
      </c>
      <c r="AL12" s="1">
        <v>0.40799999999999997</v>
      </c>
      <c r="AM12" s="5">
        <f t="shared" ref="AM12:AM20" si="1">AJ12+AK12</f>
        <v>12.508900000000001</v>
      </c>
    </row>
    <row r="13" spans="1:39" x14ac:dyDescent="0.3">
      <c r="A13" t="s">
        <v>32</v>
      </c>
      <c r="C13">
        <v>15</v>
      </c>
      <c r="D13">
        <v>1</v>
      </c>
      <c r="E13">
        <v>4</v>
      </c>
      <c r="F13" t="s">
        <v>42</v>
      </c>
      <c r="G13">
        <v>78.482429999999994</v>
      </c>
      <c r="H13">
        <v>-170.06232</v>
      </c>
      <c r="I13">
        <v>1524.3530000000001</v>
      </c>
      <c r="J13">
        <v>1502.807</v>
      </c>
      <c r="K13">
        <v>-0.28949999999999998</v>
      </c>
      <c r="L13">
        <v>-0.29010000000000002</v>
      </c>
      <c r="M13">
        <v>34.908000000000001</v>
      </c>
      <c r="N13">
        <v>34.907600000000002</v>
      </c>
      <c r="U13">
        <v>8.0220000000000002</v>
      </c>
      <c r="V13">
        <v>3</v>
      </c>
      <c r="W13">
        <v>0.79800000000000004</v>
      </c>
      <c r="X13">
        <v>3</v>
      </c>
      <c r="Y13">
        <v>12.212999999999999</v>
      </c>
      <c r="Z13">
        <v>3</v>
      </c>
      <c r="AA13">
        <v>0.11</v>
      </c>
      <c r="AB13">
        <v>3</v>
      </c>
      <c r="AC13">
        <v>0.31</v>
      </c>
      <c r="AD13">
        <v>3</v>
      </c>
      <c r="AE13">
        <v>12.323</v>
      </c>
      <c r="AF13">
        <v>3</v>
      </c>
      <c r="AG13">
        <v>220</v>
      </c>
      <c r="AH13" s="1">
        <v>7.9909999999999997</v>
      </c>
      <c r="AI13" s="1">
        <v>0.80400000000000005</v>
      </c>
      <c r="AJ13" s="1">
        <v>12.4945</v>
      </c>
      <c r="AK13" s="1">
        <v>8.2000000000000003E-2</v>
      </c>
      <c r="AL13" s="1">
        <v>0.57799999999999996</v>
      </c>
      <c r="AM13" s="5">
        <f t="shared" si="1"/>
        <v>12.576500000000001</v>
      </c>
    </row>
    <row r="14" spans="1:39" x14ac:dyDescent="0.3">
      <c r="A14" t="s">
        <v>32</v>
      </c>
      <c r="C14">
        <v>15</v>
      </c>
      <c r="D14">
        <v>1</v>
      </c>
      <c r="E14">
        <v>21</v>
      </c>
      <c r="F14" t="s">
        <v>43</v>
      </c>
      <c r="G14">
        <v>78.475020000000001</v>
      </c>
      <c r="H14">
        <v>-170.03244000000001</v>
      </c>
      <c r="I14">
        <v>20.155999999999999</v>
      </c>
      <c r="J14">
        <v>19.943000000000001</v>
      </c>
      <c r="K14">
        <v>-1.4432</v>
      </c>
      <c r="L14">
        <v>-1.4438</v>
      </c>
      <c r="M14">
        <v>31.24</v>
      </c>
      <c r="N14">
        <v>31.236699999999999</v>
      </c>
      <c r="U14">
        <v>7.2569999999999997</v>
      </c>
      <c r="V14">
        <v>4</v>
      </c>
      <c r="W14">
        <v>0.71599999999999997</v>
      </c>
      <c r="X14">
        <v>4</v>
      </c>
      <c r="Y14">
        <v>11.1965</v>
      </c>
      <c r="Z14">
        <v>4</v>
      </c>
      <c r="AA14">
        <v>2E-3</v>
      </c>
      <c r="AB14">
        <v>4</v>
      </c>
      <c r="AC14">
        <v>0.16200000000000001</v>
      </c>
      <c r="AD14">
        <v>4</v>
      </c>
      <c r="AE14">
        <v>11.198499999999999</v>
      </c>
      <c r="AF14">
        <v>4</v>
      </c>
      <c r="AG14">
        <v>203</v>
      </c>
      <c r="AH14" s="1">
        <v>7.2240000000000002</v>
      </c>
      <c r="AI14" s="1">
        <v>0.68899999999999995</v>
      </c>
      <c r="AJ14" s="1">
        <v>10.965400000000001</v>
      </c>
      <c r="AK14" s="1">
        <v>3.7999999999999999E-2</v>
      </c>
      <c r="AL14" s="1">
        <v>0.66200000000000003</v>
      </c>
      <c r="AM14" s="5">
        <f t="shared" si="1"/>
        <v>11.003400000000001</v>
      </c>
    </row>
    <row r="15" spans="1:39" x14ac:dyDescent="0.3">
      <c r="A15" t="s">
        <v>32</v>
      </c>
      <c r="C15">
        <v>17</v>
      </c>
      <c r="D15">
        <v>1</v>
      </c>
      <c r="E15">
        <v>20</v>
      </c>
      <c r="F15" t="s">
        <v>44</v>
      </c>
      <c r="G15">
        <v>77.499560000000002</v>
      </c>
      <c r="H15">
        <v>178.25470000000001</v>
      </c>
      <c r="I15">
        <v>30.433</v>
      </c>
      <c r="J15">
        <v>30.111000000000001</v>
      </c>
      <c r="K15">
        <v>-1.4247000000000001</v>
      </c>
      <c r="L15">
        <v>-1.4251</v>
      </c>
      <c r="M15">
        <v>29.912199999999999</v>
      </c>
      <c r="N15">
        <v>29.910599999999999</v>
      </c>
      <c r="U15">
        <v>10.917</v>
      </c>
      <c r="V15">
        <v>2</v>
      </c>
      <c r="W15">
        <v>0.56299999999999994</v>
      </c>
      <c r="X15">
        <v>2</v>
      </c>
      <c r="Y15">
        <v>1.2319</v>
      </c>
      <c r="Z15">
        <v>2</v>
      </c>
      <c r="AA15">
        <v>0.19400000000000001</v>
      </c>
      <c r="AB15">
        <v>3</v>
      </c>
      <c r="AC15">
        <v>0.254</v>
      </c>
      <c r="AD15">
        <v>2</v>
      </c>
      <c r="AE15">
        <v>1.4258999999999999</v>
      </c>
      <c r="AF15">
        <v>2</v>
      </c>
      <c r="AG15">
        <v>266</v>
      </c>
      <c r="AH15" s="1">
        <v>10.879</v>
      </c>
      <c r="AI15" s="1">
        <v>0.59</v>
      </c>
      <c r="AJ15" s="1">
        <v>1.2627999999999999</v>
      </c>
      <c r="AK15" s="1">
        <v>0.151</v>
      </c>
      <c r="AL15" s="1">
        <v>0.64700000000000002</v>
      </c>
      <c r="AM15" s="5">
        <f t="shared" si="1"/>
        <v>1.4137999999999999</v>
      </c>
    </row>
    <row r="16" spans="1:39" x14ac:dyDescent="0.3">
      <c r="A16" t="s">
        <v>32</v>
      </c>
      <c r="C16">
        <v>18</v>
      </c>
      <c r="D16">
        <v>1</v>
      </c>
      <c r="E16">
        <v>11</v>
      </c>
      <c r="F16" t="s">
        <v>45</v>
      </c>
      <c r="G16">
        <v>77.868660000000006</v>
      </c>
      <c r="H16">
        <v>177.30789999999999</v>
      </c>
      <c r="I16">
        <v>132.018</v>
      </c>
      <c r="J16">
        <v>130.589</v>
      </c>
      <c r="K16">
        <v>-0.72989999999999999</v>
      </c>
      <c r="L16">
        <v>-0.73</v>
      </c>
      <c r="M16">
        <v>34.432000000000002</v>
      </c>
      <c r="N16">
        <v>34.430500000000002</v>
      </c>
      <c r="U16">
        <v>6.3289999999999997</v>
      </c>
      <c r="V16">
        <v>3</v>
      </c>
      <c r="W16">
        <v>0.57899999999999996</v>
      </c>
      <c r="X16">
        <v>2</v>
      </c>
      <c r="Y16">
        <v>5.6589</v>
      </c>
      <c r="Z16">
        <v>3</v>
      </c>
      <c r="AA16">
        <v>8.9999999999999993E-3</v>
      </c>
      <c r="AB16">
        <v>2</v>
      </c>
      <c r="AC16">
        <v>0.25</v>
      </c>
      <c r="AD16">
        <v>2</v>
      </c>
      <c r="AE16">
        <v>5.6679000000000004</v>
      </c>
      <c r="AF16">
        <v>3</v>
      </c>
      <c r="AG16">
        <v>293</v>
      </c>
      <c r="AH16" s="1">
        <v>6.3159999999999998</v>
      </c>
      <c r="AI16" s="1">
        <v>0.60099999999999998</v>
      </c>
      <c r="AJ16" s="1">
        <v>5.6798000000000002</v>
      </c>
      <c r="AK16" s="1">
        <v>1.9E-2</v>
      </c>
      <c r="AL16" s="1">
        <v>0.49299999999999999</v>
      </c>
      <c r="AM16" s="5">
        <f t="shared" si="1"/>
        <v>5.6988000000000003</v>
      </c>
    </row>
    <row r="17" spans="1:40" x14ac:dyDescent="0.3">
      <c r="A17" t="s">
        <v>32</v>
      </c>
      <c r="C17">
        <v>19</v>
      </c>
      <c r="D17">
        <v>1</v>
      </c>
      <c r="E17">
        <v>11</v>
      </c>
      <c r="F17" t="s">
        <v>46</v>
      </c>
      <c r="G17">
        <v>78.268720000000002</v>
      </c>
      <c r="H17">
        <v>176.21072000000001</v>
      </c>
      <c r="I17">
        <v>132.209</v>
      </c>
      <c r="J17">
        <v>130.77500000000001</v>
      </c>
      <c r="K17">
        <v>-0.56679999999999997</v>
      </c>
      <c r="L17">
        <v>-0.57020000000000004</v>
      </c>
      <c r="M17">
        <v>34.456499999999998</v>
      </c>
      <c r="N17">
        <v>34.455599999999997</v>
      </c>
      <c r="U17">
        <v>6.8760000000000003</v>
      </c>
      <c r="V17">
        <v>4</v>
      </c>
      <c r="W17">
        <v>0.51600000000000001</v>
      </c>
      <c r="X17">
        <v>4</v>
      </c>
      <c r="Y17">
        <v>4.47</v>
      </c>
      <c r="Z17">
        <v>4</v>
      </c>
      <c r="AA17">
        <v>1.4999999999999999E-2</v>
      </c>
      <c r="AB17">
        <v>4</v>
      </c>
      <c r="AC17">
        <v>0.26100000000000001</v>
      </c>
      <c r="AD17">
        <v>2</v>
      </c>
      <c r="AE17">
        <v>4.4850000000000003</v>
      </c>
      <c r="AF17">
        <v>4</v>
      </c>
      <c r="AG17">
        <v>313</v>
      </c>
      <c r="AH17" s="1">
        <v>6.8280000000000003</v>
      </c>
      <c r="AI17" s="1">
        <v>0.51800000000000002</v>
      </c>
      <c r="AJ17" s="1">
        <v>4.4753999999999996</v>
      </c>
      <c r="AK17" s="1">
        <v>3.3000000000000002E-2</v>
      </c>
      <c r="AL17" s="1">
        <v>0.55200000000000005</v>
      </c>
      <c r="AM17" s="5">
        <f t="shared" si="1"/>
        <v>4.5084</v>
      </c>
    </row>
    <row r="18" spans="1:40" x14ac:dyDescent="0.3">
      <c r="A18" t="s">
        <v>32</v>
      </c>
      <c r="C18">
        <v>19</v>
      </c>
      <c r="D18">
        <v>1</v>
      </c>
      <c r="E18">
        <v>19</v>
      </c>
      <c r="F18" t="s">
        <v>47</v>
      </c>
      <c r="G18">
        <v>78.27216</v>
      </c>
      <c r="H18">
        <v>176.22601</v>
      </c>
      <c r="I18">
        <v>30.664000000000001</v>
      </c>
      <c r="J18">
        <v>30.338999999999999</v>
      </c>
      <c r="K18">
        <v>-1.4789000000000001</v>
      </c>
      <c r="L18">
        <v>-1.4799</v>
      </c>
      <c r="M18">
        <v>31.956800000000001</v>
      </c>
      <c r="N18">
        <v>31.959900000000001</v>
      </c>
      <c r="U18">
        <v>7.5430000000000001</v>
      </c>
      <c r="V18">
        <v>2</v>
      </c>
      <c r="W18">
        <v>0.39200000000000002</v>
      </c>
      <c r="X18">
        <v>2</v>
      </c>
      <c r="Y18">
        <v>2.5021</v>
      </c>
      <c r="Z18">
        <v>2</v>
      </c>
      <c r="AA18">
        <v>0.182</v>
      </c>
      <c r="AB18">
        <v>3</v>
      </c>
      <c r="AC18">
        <v>0.20699999999999999</v>
      </c>
      <c r="AD18">
        <v>2</v>
      </c>
      <c r="AE18">
        <v>2.6840999999999999</v>
      </c>
      <c r="AF18">
        <v>2</v>
      </c>
      <c r="AG18">
        <v>306</v>
      </c>
      <c r="AH18" s="1">
        <v>7.5090000000000003</v>
      </c>
      <c r="AI18" s="1">
        <v>0.4</v>
      </c>
      <c r="AJ18" s="1">
        <v>2.5278</v>
      </c>
      <c r="AK18" s="1">
        <v>0.11799999999999999</v>
      </c>
      <c r="AL18" s="1">
        <v>0.56799999999999995</v>
      </c>
      <c r="AM18" s="5">
        <f t="shared" si="1"/>
        <v>2.6457999999999999</v>
      </c>
    </row>
    <row r="19" spans="1:40" x14ac:dyDescent="0.3">
      <c r="A19" t="s">
        <v>32</v>
      </c>
      <c r="C19">
        <v>23</v>
      </c>
      <c r="D19">
        <v>1</v>
      </c>
      <c r="E19">
        <v>11</v>
      </c>
      <c r="F19" t="s">
        <v>48</v>
      </c>
      <c r="G19">
        <v>79.729839999999996</v>
      </c>
      <c r="H19">
        <v>169.20072999999999</v>
      </c>
      <c r="I19">
        <v>131.49199999999999</v>
      </c>
      <c r="J19">
        <v>130.06100000000001</v>
      </c>
      <c r="K19">
        <v>-0.4138</v>
      </c>
      <c r="L19">
        <v>-0.41739999999999999</v>
      </c>
      <c r="M19">
        <v>34.461399999999998</v>
      </c>
      <c r="N19">
        <v>34.459800000000001</v>
      </c>
      <c r="U19">
        <v>4.8440000000000003</v>
      </c>
      <c r="V19">
        <v>4</v>
      </c>
      <c r="W19">
        <v>0.48199999999999998</v>
      </c>
      <c r="X19">
        <v>4</v>
      </c>
      <c r="Y19">
        <v>6.6420000000000003</v>
      </c>
      <c r="Z19">
        <v>4</v>
      </c>
      <c r="AA19">
        <v>4.4999999999999998E-2</v>
      </c>
      <c r="AB19">
        <v>4</v>
      </c>
      <c r="AC19">
        <v>0.13100000000000001</v>
      </c>
      <c r="AD19">
        <v>4</v>
      </c>
      <c r="AE19">
        <v>6.6870000000000003</v>
      </c>
      <c r="AF19">
        <v>4</v>
      </c>
      <c r="AG19">
        <v>399</v>
      </c>
      <c r="AH19" s="1">
        <v>4.8120000000000003</v>
      </c>
      <c r="AI19" s="1">
        <v>0.47499999999999998</v>
      </c>
      <c r="AJ19" s="1">
        <v>6.6723999999999997</v>
      </c>
      <c r="AK19" s="1">
        <v>3.6999999999999998E-2</v>
      </c>
      <c r="AL19" s="1">
        <v>0.31</v>
      </c>
      <c r="AM19" s="5">
        <f t="shared" si="1"/>
        <v>6.7093999999999996</v>
      </c>
    </row>
    <row r="20" spans="1:40" x14ac:dyDescent="0.3">
      <c r="A20" t="s">
        <v>32</v>
      </c>
      <c r="C20">
        <v>23</v>
      </c>
      <c r="D20">
        <v>1</v>
      </c>
      <c r="E20">
        <v>17</v>
      </c>
      <c r="F20" t="s">
        <v>49</v>
      </c>
      <c r="G20">
        <v>79.730840000000001</v>
      </c>
      <c r="H20">
        <v>169.20714000000001</v>
      </c>
      <c r="I20">
        <v>40.89</v>
      </c>
      <c r="J20">
        <v>40.454000000000001</v>
      </c>
      <c r="K20">
        <v>-1.5998000000000001</v>
      </c>
      <c r="L20">
        <v>-1.5999000000000001</v>
      </c>
      <c r="M20">
        <v>32.820900000000002</v>
      </c>
      <c r="N20">
        <v>32.817599999999999</v>
      </c>
      <c r="U20">
        <v>5.2839999999999998</v>
      </c>
      <c r="V20">
        <v>3</v>
      </c>
      <c r="W20">
        <v>0.46</v>
      </c>
      <c r="X20">
        <v>2</v>
      </c>
      <c r="Y20">
        <v>3.2905000000000002</v>
      </c>
      <c r="Z20">
        <v>3</v>
      </c>
      <c r="AA20">
        <v>0.20200000000000001</v>
      </c>
      <c r="AB20">
        <v>3</v>
      </c>
      <c r="AC20">
        <v>0.371</v>
      </c>
      <c r="AD20">
        <v>2</v>
      </c>
      <c r="AE20">
        <v>3.4925000000000002</v>
      </c>
      <c r="AF20">
        <v>3</v>
      </c>
      <c r="AG20">
        <v>393</v>
      </c>
      <c r="AH20" s="1">
        <v>5.2990000000000004</v>
      </c>
      <c r="AI20" s="1">
        <v>0.36099999999999999</v>
      </c>
      <c r="AJ20" s="1">
        <v>3.3344999999999998</v>
      </c>
      <c r="AK20" s="1">
        <v>0.125</v>
      </c>
      <c r="AL20" s="1">
        <v>0.60699999999999998</v>
      </c>
      <c r="AM20" s="5">
        <f t="shared" si="1"/>
        <v>3.4594999999999998</v>
      </c>
    </row>
    <row r="21" spans="1:40" x14ac:dyDescent="0.3">
      <c r="A21" t="s">
        <v>32</v>
      </c>
      <c r="C21">
        <v>25</v>
      </c>
      <c r="D21">
        <v>1</v>
      </c>
      <c r="E21">
        <v>11</v>
      </c>
      <c r="F21" t="s">
        <v>50</v>
      </c>
      <c r="G21">
        <v>80.371380000000002</v>
      </c>
      <c r="H21">
        <v>163.91455999999999</v>
      </c>
      <c r="I21">
        <v>131.774</v>
      </c>
      <c r="J21">
        <v>130.33699999999999</v>
      </c>
      <c r="K21">
        <v>-0.35970000000000002</v>
      </c>
      <c r="L21">
        <v>-0.3594</v>
      </c>
      <c r="M21">
        <v>34.527900000000002</v>
      </c>
      <c r="N21">
        <v>34.526299999999999</v>
      </c>
      <c r="U21">
        <v>4.1340000000000003</v>
      </c>
      <c r="V21">
        <v>2</v>
      </c>
      <c r="W21">
        <v>0.499</v>
      </c>
      <c r="X21">
        <v>3</v>
      </c>
      <c r="Y21">
        <v>7.1257000000000001</v>
      </c>
      <c r="Z21">
        <v>3</v>
      </c>
      <c r="AA21">
        <v>3.2000000000000001E-2</v>
      </c>
      <c r="AB21">
        <v>2</v>
      </c>
      <c r="AC21">
        <v>0.26100000000000001</v>
      </c>
      <c r="AD21">
        <v>2</v>
      </c>
      <c r="AE21">
        <v>7.1577000000000002</v>
      </c>
      <c r="AF21">
        <v>3</v>
      </c>
      <c r="AG21">
        <v>419</v>
      </c>
      <c r="AH21" s="1">
        <v>4.3390000000000004</v>
      </c>
      <c r="AI21" s="1">
        <v>0.51500000000000001</v>
      </c>
      <c r="AJ21" s="1">
        <v>7.1094999999999997</v>
      </c>
      <c r="AK21" s="1">
        <v>3.7999999999999999E-2</v>
      </c>
      <c r="AL21" s="1">
        <v>0.36899999999999999</v>
      </c>
      <c r="AM21" s="5">
        <f t="shared" ref="AM21:AM26" si="2">AJ21+AK21</f>
        <v>7.1475</v>
      </c>
    </row>
    <row r="22" spans="1:40" x14ac:dyDescent="0.3">
      <c r="A22" t="s">
        <v>32</v>
      </c>
      <c r="C22">
        <v>25</v>
      </c>
      <c r="D22">
        <v>1</v>
      </c>
      <c r="E22">
        <v>12</v>
      </c>
      <c r="F22" t="s">
        <v>51</v>
      </c>
      <c r="G22">
        <v>80.371579999999994</v>
      </c>
      <c r="H22">
        <v>163.91405</v>
      </c>
      <c r="I22">
        <v>116.63500000000001</v>
      </c>
      <c r="J22">
        <v>115.367</v>
      </c>
      <c r="K22">
        <v>-0.56120000000000003</v>
      </c>
      <c r="L22">
        <v>-0.56759999999999999</v>
      </c>
      <c r="M22">
        <v>34.472099999999998</v>
      </c>
      <c r="N22">
        <v>34.468699999999998</v>
      </c>
      <c r="U22">
        <v>3.7989999999999999</v>
      </c>
      <c r="V22">
        <v>2</v>
      </c>
      <c r="W22">
        <v>0.496</v>
      </c>
      <c r="X22">
        <v>3</v>
      </c>
      <c r="Y22">
        <v>8.4368999999999996</v>
      </c>
      <c r="Z22">
        <v>2</v>
      </c>
      <c r="AA22">
        <v>3.1E-2</v>
      </c>
      <c r="AB22">
        <v>2</v>
      </c>
      <c r="AC22">
        <v>0.254</v>
      </c>
      <c r="AD22">
        <v>2</v>
      </c>
      <c r="AE22">
        <v>8.4679000000000002</v>
      </c>
      <c r="AF22">
        <v>2</v>
      </c>
      <c r="AG22">
        <v>418</v>
      </c>
      <c r="AH22" s="1">
        <v>3.9769999999999999</v>
      </c>
      <c r="AI22" s="1">
        <v>0.54800000000000004</v>
      </c>
      <c r="AJ22" s="1">
        <v>8.0611999999999995</v>
      </c>
      <c r="AK22" s="1">
        <v>2.8000000000000001E-2</v>
      </c>
      <c r="AL22" s="1">
        <v>0.312</v>
      </c>
      <c r="AM22" s="5">
        <f t="shared" si="2"/>
        <v>8.0891999999999999</v>
      </c>
    </row>
    <row r="23" spans="1:40" x14ac:dyDescent="0.3">
      <c r="A23" t="s">
        <v>32</v>
      </c>
      <c r="C23">
        <v>25</v>
      </c>
      <c r="D23">
        <v>1</v>
      </c>
      <c r="E23">
        <v>13</v>
      </c>
      <c r="F23" t="s">
        <v>52</v>
      </c>
      <c r="G23">
        <v>80.371719999999996</v>
      </c>
      <c r="H23">
        <v>163.91362000000001</v>
      </c>
      <c r="I23">
        <v>100.72499999999999</v>
      </c>
      <c r="J23">
        <v>99.632999999999996</v>
      </c>
      <c r="K23">
        <v>-0.87080000000000002</v>
      </c>
      <c r="L23">
        <v>-0.87050000000000005</v>
      </c>
      <c r="M23">
        <v>34.393700000000003</v>
      </c>
      <c r="N23">
        <v>34.392000000000003</v>
      </c>
      <c r="U23">
        <v>3.8359999999999999</v>
      </c>
      <c r="V23">
        <v>2</v>
      </c>
      <c r="W23">
        <v>0.54600000000000004</v>
      </c>
      <c r="X23">
        <v>2</v>
      </c>
      <c r="Y23">
        <v>7.9995000000000003</v>
      </c>
      <c r="Z23">
        <v>2</v>
      </c>
      <c r="AA23">
        <v>0</v>
      </c>
      <c r="AB23">
        <v>3</v>
      </c>
      <c r="AC23">
        <v>0.24199999999999999</v>
      </c>
      <c r="AD23">
        <v>2</v>
      </c>
      <c r="AE23">
        <v>7.9794999999999998</v>
      </c>
      <c r="AF23">
        <v>2</v>
      </c>
      <c r="AG23">
        <v>417</v>
      </c>
      <c r="AH23" s="1">
        <v>3.9910000000000001</v>
      </c>
      <c r="AI23" s="1">
        <v>0.54700000000000004</v>
      </c>
      <c r="AJ23" s="1">
        <v>7.4993999999999996</v>
      </c>
      <c r="AK23" s="1">
        <v>2.5999999999999999E-2</v>
      </c>
      <c r="AL23" s="1">
        <v>0.32300000000000001</v>
      </c>
      <c r="AM23" s="5">
        <f t="shared" si="2"/>
        <v>7.5253999999999994</v>
      </c>
    </row>
    <row r="24" spans="1:40" x14ac:dyDescent="0.3">
      <c r="A24" t="s">
        <v>32</v>
      </c>
      <c r="C24">
        <v>25</v>
      </c>
      <c r="D24">
        <v>1</v>
      </c>
      <c r="E24">
        <v>14</v>
      </c>
      <c r="F24" t="s">
        <v>53</v>
      </c>
      <c r="G24">
        <v>80.371780000000001</v>
      </c>
      <c r="H24">
        <v>163.91318999999999</v>
      </c>
      <c r="I24">
        <v>85.915000000000006</v>
      </c>
      <c r="J24">
        <v>84.988</v>
      </c>
      <c r="K24">
        <v>-1.1534</v>
      </c>
      <c r="L24">
        <v>-1.1531</v>
      </c>
      <c r="M24">
        <v>34.295699999999997</v>
      </c>
      <c r="N24">
        <v>34.292999999999999</v>
      </c>
      <c r="U24">
        <v>4.0659999999999998</v>
      </c>
      <c r="V24">
        <v>2</v>
      </c>
      <c r="W24">
        <v>0.52</v>
      </c>
      <c r="X24">
        <v>2</v>
      </c>
      <c r="Y24">
        <v>7.5029000000000003</v>
      </c>
      <c r="Z24">
        <v>2</v>
      </c>
      <c r="AA24">
        <v>0</v>
      </c>
      <c r="AB24">
        <v>3</v>
      </c>
      <c r="AC24">
        <v>0.57299999999999995</v>
      </c>
      <c r="AD24">
        <v>2</v>
      </c>
      <c r="AE24">
        <v>7.4699</v>
      </c>
      <c r="AF24">
        <v>2</v>
      </c>
      <c r="AG24">
        <v>416</v>
      </c>
      <c r="AH24" s="1">
        <v>4.0890000000000004</v>
      </c>
      <c r="AI24" s="1">
        <v>0.54900000000000004</v>
      </c>
      <c r="AJ24" s="1">
        <v>7.1958000000000002</v>
      </c>
      <c r="AK24" s="1">
        <v>3.5000000000000003E-2</v>
      </c>
      <c r="AL24" s="1">
        <v>0.45700000000000002</v>
      </c>
      <c r="AM24" s="5">
        <f t="shared" si="2"/>
        <v>7.2308000000000003</v>
      </c>
    </row>
    <row r="25" spans="1:40" x14ac:dyDescent="0.3">
      <c r="A25" t="s">
        <v>32</v>
      </c>
      <c r="C25">
        <v>25</v>
      </c>
      <c r="D25">
        <v>1</v>
      </c>
      <c r="E25">
        <v>15</v>
      </c>
      <c r="F25" t="s">
        <v>54</v>
      </c>
      <c r="G25">
        <v>80.371880000000004</v>
      </c>
      <c r="H25">
        <v>163.91283000000001</v>
      </c>
      <c r="I25">
        <v>70.998999999999995</v>
      </c>
      <c r="J25">
        <v>70.234999999999999</v>
      </c>
      <c r="K25">
        <v>-1.2882</v>
      </c>
      <c r="L25">
        <v>-1.2878000000000001</v>
      </c>
      <c r="M25">
        <v>34.164999999999999</v>
      </c>
      <c r="N25">
        <v>34.1633</v>
      </c>
      <c r="U25">
        <v>3.8580000000000001</v>
      </c>
      <c r="V25">
        <v>2</v>
      </c>
      <c r="W25">
        <v>0.48099999999999998</v>
      </c>
      <c r="X25">
        <v>2</v>
      </c>
      <c r="Y25">
        <v>6.8906000000000001</v>
      </c>
      <c r="Z25">
        <v>2</v>
      </c>
      <c r="AA25">
        <v>0</v>
      </c>
      <c r="AB25">
        <v>3</v>
      </c>
      <c r="AC25">
        <v>0.216</v>
      </c>
      <c r="AD25">
        <v>2</v>
      </c>
      <c r="AE25">
        <v>6.8395999999999999</v>
      </c>
      <c r="AF25">
        <v>2</v>
      </c>
      <c r="AG25">
        <v>415</v>
      </c>
      <c r="AH25" s="1">
        <v>4.0869999999999997</v>
      </c>
      <c r="AI25" s="1">
        <v>0.48599999999999999</v>
      </c>
      <c r="AJ25" s="1">
        <v>6.7546999999999997</v>
      </c>
      <c r="AK25" s="1">
        <v>3.3000000000000002E-2</v>
      </c>
      <c r="AL25" s="1">
        <v>0.39100000000000001</v>
      </c>
      <c r="AM25" s="5">
        <f t="shared" si="2"/>
        <v>6.7877000000000001</v>
      </c>
    </row>
    <row r="26" spans="1:40" x14ac:dyDescent="0.3">
      <c r="A26" t="s">
        <v>32</v>
      </c>
      <c r="C26">
        <v>40</v>
      </c>
      <c r="D26">
        <v>1</v>
      </c>
      <c r="E26">
        <v>5</v>
      </c>
      <c r="F26" t="s">
        <v>55</v>
      </c>
      <c r="G26">
        <v>79.09872</v>
      </c>
      <c r="H26">
        <v>125.7791</v>
      </c>
      <c r="I26">
        <v>303.31400000000002</v>
      </c>
      <c r="J26">
        <v>299.89400000000001</v>
      </c>
      <c r="K26">
        <v>1.7238</v>
      </c>
      <c r="L26">
        <v>1.6437999999999999</v>
      </c>
      <c r="M26">
        <v>34.784799999999997</v>
      </c>
      <c r="N26">
        <v>34.873800000000003</v>
      </c>
      <c r="U26">
        <v>5.0389999999999997</v>
      </c>
      <c r="V26">
        <v>4</v>
      </c>
      <c r="W26">
        <v>1.196</v>
      </c>
      <c r="X26">
        <v>4</v>
      </c>
      <c r="Y26">
        <v>18.094200000000001</v>
      </c>
      <c r="Z26">
        <v>4</v>
      </c>
      <c r="AA26">
        <v>1.6E-2</v>
      </c>
      <c r="AB26">
        <v>2</v>
      </c>
      <c r="AC26">
        <v>4.6079999999999997</v>
      </c>
      <c r="AD26">
        <v>4</v>
      </c>
      <c r="AE26">
        <v>18.110199999999999</v>
      </c>
      <c r="AF26">
        <v>4</v>
      </c>
      <c r="AG26" s="2">
        <v>634</v>
      </c>
      <c r="AH26" s="3">
        <v>5.1989999999999998</v>
      </c>
      <c r="AI26" s="3">
        <v>0.73799999999999999</v>
      </c>
      <c r="AJ26" s="3">
        <v>11.645899999999999</v>
      </c>
      <c r="AK26" s="3">
        <v>3.1E-2</v>
      </c>
      <c r="AL26" s="3">
        <v>0.375</v>
      </c>
      <c r="AM26" s="4">
        <f t="shared" si="2"/>
        <v>11.6769</v>
      </c>
      <c r="AN26" t="s">
        <v>56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lmwhi</dc:creator>
  <cp:lastModifiedBy>Laura Kelly</cp:lastModifiedBy>
  <dcterms:created xsi:type="dcterms:W3CDTF">2024-06-18T14:16:56Z</dcterms:created>
  <dcterms:modified xsi:type="dcterms:W3CDTF">2024-08-13T18:47:07Z</dcterms:modified>
</cp:coreProperties>
</file>