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an\Documents\To Send today\"/>
    </mc:Choice>
  </mc:AlternateContent>
  <bookViews>
    <workbookView xWindow="0" yWindow="0" windowWidth="22992" windowHeight="9144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0" i="1" l="1"/>
  <c r="H261" i="1"/>
  <c r="H251" i="1"/>
  <c r="H250" i="1"/>
  <c r="H249" i="1"/>
  <c r="H248" i="1"/>
  <c r="H247" i="1"/>
  <c r="H246" i="1"/>
  <c r="H123" i="1" l="1"/>
  <c r="H32" i="1"/>
  <c r="H6" i="1" l="1"/>
  <c r="H7" i="1"/>
  <c r="H8" i="1"/>
  <c r="H9" i="1"/>
  <c r="H10" i="1"/>
  <c r="H12" i="1"/>
  <c r="H13" i="1"/>
  <c r="H14" i="1"/>
  <c r="H15" i="1"/>
  <c r="H16" i="1"/>
  <c r="H18" i="1"/>
  <c r="H19" i="1"/>
  <c r="H20" i="1"/>
  <c r="H21" i="1"/>
  <c r="H22" i="1"/>
  <c r="H23" i="1"/>
  <c r="H25" i="1"/>
  <c r="H26" i="1"/>
  <c r="H27" i="1"/>
  <c r="H28" i="1"/>
  <c r="H29" i="1"/>
  <c r="H30" i="1"/>
  <c r="H33" i="1"/>
  <c r="H34" i="1"/>
  <c r="H35" i="1"/>
  <c r="H36" i="1"/>
  <c r="H37" i="1"/>
  <c r="H39" i="1"/>
  <c r="H40" i="1"/>
  <c r="H41" i="1"/>
  <c r="H42" i="1"/>
  <c r="H43" i="1"/>
  <c r="H44" i="1"/>
  <c r="H47" i="1"/>
  <c r="H48" i="1"/>
  <c r="H49" i="1"/>
  <c r="H50" i="1"/>
  <c r="H51" i="1"/>
  <c r="H46" i="1"/>
  <c r="H53" i="1"/>
  <c r="H54" i="1"/>
  <c r="H55" i="1"/>
  <c r="H56" i="1"/>
  <c r="H57" i="1"/>
  <c r="H58" i="1"/>
  <c r="H60" i="1"/>
  <c r="H61" i="1"/>
  <c r="H62" i="1"/>
  <c r="H63" i="1"/>
  <c r="H64" i="1"/>
  <c r="H65" i="1"/>
  <c r="H67" i="1"/>
  <c r="H68" i="1"/>
  <c r="H69" i="1"/>
  <c r="H70" i="1"/>
  <c r="H71" i="1"/>
  <c r="H73" i="1"/>
  <c r="H74" i="1"/>
  <c r="H75" i="1"/>
  <c r="H76" i="1"/>
  <c r="H77" i="1"/>
  <c r="H78" i="1"/>
  <c r="H80" i="1"/>
  <c r="H81" i="1"/>
  <c r="H82" i="1"/>
  <c r="H83" i="1"/>
  <c r="H84" i="1"/>
  <c r="H85" i="1"/>
  <c r="H87" i="1"/>
  <c r="H88" i="1"/>
  <c r="H89" i="1"/>
  <c r="H90" i="1"/>
  <c r="H91" i="1"/>
  <c r="H92" i="1"/>
  <c r="H101" i="1"/>
  <c r="H102" i="1"/>
  <c r="H103" i="1"/>
  <c r="H104" i="1"/>
  <c r="H105" i="1"/>
  <c r="H106" i="1"/>
  <c r="H94" i="1"/>
  <c r="H95" i="1"/>
  <c r="H96" i="1"/>
  <c r="H97" i="1"/>
  <c r="H98" i="1"/>
  <c r="H99" i="1"/>
  <c r="H108" i="1"/>
  <c r="H109" i="1"/>
  <c r="H110" i="1"/>
  <c r="H111" i="1"/>
  <c r="H112" i="1"/>
  <c r="H113" i="1"/>
  <c r="H115" i="1"/>
  <c r="H116" i="1"/>
  <c r="H117" i="1"/>
  <c r="H118" i="1"/>
  <c r="H119" i="1"/>
  <c r="H120" i="1"/>
  <c r="H122" i="1"/>
  <c r="H124" i="1"/>
  <c r="H125" i="1"/>
  <c r="H126" i="1"/>
  <c r="H128" i="1"/>
  <c r="H129" i="1"/>
  <c r="H130" i="1"/>
  <c r="H131" i="1"/>
  <c r="H132" i="1"/>
  <c r="H133" i="1"/>
  <c r="H135" i="1"/>
  <c r="H136" i="1"/>
  <c r="H137" i="1"/>
  <c r="H138" i="1"/>
  <c r="H139" i="1"/>
  <c r="H140" i="1"/>
  <c r="H142" i="1"/>
  <c r="H143" i="1"/>
  <c r="H144" i="1"/>
  <c r="H145" i="1"/>
  <c r="H146" i="1"/>
  <c r="H147" i="1"/>
  <c r="H149" i="1"/>
  <c r="H150" i="1"/>
  <c r="H151" i="1"/>
  <c r="H152" i="1"/>
  <c r="H153" i="1"/>
  <c r="H154" i="1"/>
  <c r="H156" i="1"/>
  <c r="H157" i="1"/>
  <c r="H158" i="1"/>
  <c r="H159" i="1"/>
  <c r="H160" i="1"/>
  <c r="H161" i="1"/>
  <c r="H163" i="1"/>
  <c r="H164" i="1"/>
  <c r="H165" i="1"/>
  <c r="H166" i="1"/>
  <c r="H167" i="1"/>
  <c r="H168" i="1"/>
  <c r="H170" i="1"/>
  <c r="H171" i="1"/>
  <c r="H172" i="1"/>
  <c r="H173" i="1"/>
  <c r="H174" i="1"/>
  <c r="H175" i="1"/>
  <c r="H177" i="1"/>
  <c r="H178" i="1"/>
  <c r="H179" i="1"/>
  <c r="H180" i="1"/>
  <c r="H181" i="1"/>
  <c r="H182" i="1"/>
  <c r="H184" i="1"/>
  <c r="H185" i="1"/>
  <c r="H186" i="1"/>
  <c r="H187" i="1"/>
  <c r="H188" i="1"/>
  <c r="H190" i="1"/>
  <c r="H191" i="1"/>
  <c r="H192" i="1"/>
  <c r="H194" i="1"/>
  <c r="H195" i="1"/>
  <c r="H197" i="1"/>
  <c r="H198" i="1"/>
  <c r="H199" i="1"/>
  <c r="H200" i="1"/>
  <c r="H201" i="1"/>
  <c r="H202" i="1"/>
  <c r="H204" i="1"/>
  <c r="H205" i="1"/>
  <c r="H206" i="1"/>
  <c r="H207" i="1"/>
  <c r="H208" i="1"/>
  <c r="H209" i="1"/>
  <c r="H211" i="1"/>
  <c r="H212" i="1"/>
  <c r="H213" i="1"/>
  <c r="H214" i="1"/>
  <c r="H215" i="1"/>
  <c r="H216" i="1"/>
  <c r="H218" i="1"/>
  <c r="H219" i="1"/>
  <c r="H220" i="1"/>
  <c r="H221" i="1"/>
  <c r="H222" i="1"/>
  <c r="H223" i="1"/>
  <c r="H225" i="1"/>
  <c r="H226" i="1"/>
  <c r="H227" i="1"/>
  <c r="H228" i="1"/>
  <c r="H229" i="1"/>
  <c r="H230" i="1"/>
  <c r="H232" i="1"/>
  <c r="H233" i="1"/>
  <c r="H234" i="1"/>
  <c r="H235" i="1"/>
  <c r="H236" i="1"/>
  <c r="H237" i="1"/>
  <c r="H239" i="1"/>
  <c r="H240" i="1"/>
  <c r="H241" i="1"/>
  <c r="H242" i="1"/>
  <c r="H243" i="1"/>
  <c r="H244" i="1"/>
  <c r="H253" i="1"/>
  <c r="H254" i="1"/>
  <c r="H255" i="1"/>
  <c r="H256" i="1"/>
  <c r="H257" i="1"/>
  <c r="H258" i="1"/>
  <c r="H262" i="1"/>
  <c r="H263" i="1"/>
  <c r="H264" i="1"/>
  <c r="H265" i="1"/>
  <c r="H267" i="1"/>
  <c r="H268" i="1"/>
  <c r="H269" i="1"/>
  <c r="H270" i="1"/>
  <c r="H271" i="1"/>
  <c r="H272" i="1"/>
  <c r="H4" i="1"/>
</calcChain>
</file>

<file path=xl/sharedStrings.xml><?xml version="1.0" encoding="utf-8"?>
<sst xmlns="http://schemas.openxmlformats.org/spreadsheetml/2006/main" count="14" uniqueCount="14">
  <si>
    <t>Station</t>
  </si>
  <si>
    <t>Date</t>
  </si>
  <si>
    <t>Nisk#</t>
  </si>
  <si>
    <t>Depth</t>
  </si>
  <si>
    <t>Chl</t>
  </si>
  <si>
    <t>Phaeo</t>
  </si>
  <si>
    <t>HEALY 2023</t>
  </si>
  <si>
    <t>Filename: HAB's Leg 1</t>
  </si>
  <si>
    <t>Chl/Phaeo</t>
  </si>
  <si>
    <t>Chl Fluorescence [V]</t>
  </si>
  <si>
    <t>Fo/Fa</t>
  </si>
  <si>
    <t>Fa/Fo</t>
  </si>
  <si>
    <t>Leaked in centrifuge</t>
  </si>
  <si>
    <t>Chl Max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</si>
</sst>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[$-409]mmm\-yy;@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/>
    <xf numFmtId="15" fontId="0" fillId="0" borderId="0" xfId="0" applyNumberFormat="1"/>
    <xf numFmtId="0" fontId="0" fillId="0" borderId="0" xfId="0" applyFill="1"/>
    <xf numFmtId="15" fontId="2" fillId="0" borderId="0" xfId="0" applyNumberFormat="1" applyFont="1"/>
    <xf numFmtId="2" fontId="0" fillId="0" borderId="0" xfId="0" applyNumberFormat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164" fontId="3" fillId="0" borderId="0" xfId="0" applyNumberFormat="1" applyFont="1"/>
    <xf numFmtId="15" fontId="0" fillId="0" borderId="0" xfId="0" applyNumberFormat="1" applyFill="1"/>
    <xf numFmtId="2" fontId="0" fillId="0" borderId="0" xfId="0" applyNumberFormat="1" applyFill="1"/>
    <xf numFmtId="15" fontId="2" fillId="0" borderId="0" xfId="0" applyNumberFormat="1" applyFont="1" applyFill="1"/>
    <xf numFmtId="166" fontId="4" fillId="0" borderId="0" xfId="0" applyNumberFormat="1" applyFont="1"/>
    <xf numFmtId="166" fontId="0" fillId="0" borderId="0" xfId="0" applyNumberFormat="1"/>
    <xf numFmtId="166" fontId="4" fillId="2" borderId="0" xfId="0" applyNumberFormat="1" applyFont="1" applyFill="1"/>
    <xf numFmtId="166" fontId="4" fillId="0" borderId="0" xfId="0" applyNumberFormat="1" applyFont="1" applyFill="1"/>
    <xf numFmtId="2" fontId="0" fillId="0" borderId="0" xfId="0" applyNumberFormat="1" applyFont="1" applyFill="1"/>
    <xf numFmtId="164" fontId="0" fillId="0" borderId="0" xfId="0" applyNumberFormat="1" applyFill="1"/>
    <xf numFmtId="0" fontId="3" fillId="0" borderId="0" xfId="0" applyFont="1" applyFill="1"/>
    <xf numFmtId="2" fontId="5" fillId="0" borderId="0" xfId="0" applyNumberFormat="1" applyFont="1" applyFill="1" applyAlignment="1">
      <alignment horizontal="left" indent="3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71"/>
  <sheetViews>
    <sheetView tabSelected="1" workbookViewId="0">
      <pane xSplit="1" ySplit="3" topLeftCell="B4" activePane="bottomRight" state="frozen"/>
      <selection pane="topRight" activeCell="D1" sqref="D1"/>
      <selection pane="bottomLeft" activeCell="A3" sqref="A3"/>
      <selection pane="bottomRight" activeCell="N264" sqref="N264"/>
    </sheetView>
  </sheetViews>
  <sheetFormatPr defaultRowHeight="14.4" x14ac:dyDescent="0.3"/>
  <cols>
    <col min="1" max="1" width="14.44140625" style="1" customWidth="1"/>
    <col min="2" max="2" width="9.6640625" style="1" customWidth="1"/>
    <col min="3" max="3" width="5" style="2" customWidth="1"/>
    <col min="4" max="4" width="6.44140625" style="3" customWidth="1"/>
    <col min="5" max="6" width="8.88671875" style="10"/>
    <col min="8" max="12" width="8.88671875" style="10"/>
    <col min="13" max="13" width="10.88671875" customWidth="1"/>
    <col min="14" max="14" width="11.88671875" customWidth="1"/>
    <col min="16" max="17" width="8.88671875" style="10"/>
  </cols>
  <sheetData>
    <row r="1" spans="1:24" x14ac:dyDescent="0.3">
      <c r="N1" s="28" t="s">
        <v>9</v>
      </c>
    </row>
    <row r="2" spans="1:24" s="14" customFormat="1" ht="13.2" customHeight="1" x14ac:dyDescent="0.25">
      <c r="A2" s="15">
        <v>45323</v>
      </c>
      <c r="B2" s="14" t="s">
        <v>7</v>
      </c>
      <c r="C2" s="4" t="s">
        <v>6</v>
      </c>
      <c r="D2" s="5"/>
      <c r="E2" s="12"/>
      <c r="F2" s="4"/>
      <c r="G2" s="4"/>
      <c r="N2" s="28"/>
      <c r="P2" s="13"/>
      <c r="Q2" s="13"/>
      <c r="R2" s="4"/>
      <c r="S2" s="16"/>
      <c r="T2" s="4"/>
      <c r="U2" s="4"/>
      <c r="V2" s="4"/>
      <c r="W2" s="13"/>
      <c r="X2" s="13"/>
    </row>
    <row r="3" spans="1:24" x14ac:dyDescent="0.3">
      <c r="A3" s="4" t="s">
        <v>0</v>
      </c>
      <c r="B3" s="4" t="s">
        <v>1</v>
      </c>
      <c r="C3" s="4" t="s">
        <v>2</v>
      </c>
      <c r="D3" s="5" t="s">
        <v>3</v>
      </c>
      <c r="E3" s="4" t="s">
        <v>4</v>
      </c>
      <c r="F3" s="11" t="s">
        <v>5</v>
      </c>
      <c r="H3" s="13" t="s">
        <v>8</v>
      </c>
      <c r="I3" s="13"/>
      <c r="J3" s="13" t="s">
        <v>10</v>
      </c>
      <c r="K3" s="13" t="s">
        <v>11</v>
      </c>
      <c r="L3" s="13"/>
      <c r="M3" s="13" t="s">
        <v>13</v>
      </c>
      <c r="N3" s="28"/>
    </row>
    <row r="4" spans="1:24" x14ac:dyDescent="0.3">
      <c r="A4">
        <v>0</v>
      </c>
      <c r="B4" s="7">
        <v>45170</v>
      </c>
      <c r="C4" s="3"/>
      <c r="D4">
        <v>4</v>
      </c>
      <c r="E4" s="10">
        <v>1.5280400213258354</v>
      </c>
      <c r="F4" s="10">
        <v>0.67197289857862197</v>
      </c>
      <c r="H4" s="10">
        <f>E4/F4</f>
        <v>2.2739607870466103</v>
      </c>
      <c r="J4" s="10">
        <v>4.9056603773584904</v>
      </c>
      <c r="K4" s="10">
        <v>0.20384615384615384</v>
      </c>
      <c r="N4" s="20">
        <v>2.0500000000000001E-2</v>
      </c>
    </row>
    <row r="5" spans="1:24" x14ac:dyDescent="0.3">
      <c r="A5"/>
      <c r="B5" s="7"/>
      <c r="C5" s="3"/>
      <c r="D5"/>
      <c r="N5" s="20"/>
    </row>
    <row r="6" spans="1:24" s="8" customFormat="1" x14ac:dyDescent="0.3">
      <c r="A6" s="8">
        <v>1</v>
      </c>
      <c r="B6" s="17">
        <v>45172</v>
      </c>
      <c r="C6" s="3"/>
      <c r="D6" s="8">
        <v>3</v>
      </c>
      <c r="E6" s="18">
        <v>0.34694628503533459</v>
      </c>
      <c r="F6" s="18">
        <v>0.4521150113450581</v>
      </c>
      <c r="H6" s="18">
        <f t="shared" ref="H6:H80" si="0">E6/F6</f>
        <v>0.76738501560290417</v>
      </c>
      <c r="I6" s="18"/>
      <c r="J6" s="18">
        <v>3.4415584415584415</v>
      </c>
      <c r="K6" s="18">
        <v>0.29056603773584905</v>
      </c>
      <c r="L6" s="18"/>
      <c r="N6" s="20">
        <v>2.3300000000000001E-2</v>
      </c>
      <c r="P6" s="18"/>
      <c r="Q6" s="18"/>
    </row>
    <row r="7" spans="1:24" s="8" customFormat="1" x14ac:dyDescent="0.3">
      <c r="A7" s="8">
        <v>1</v>
      </c>
      <c r="B7" s="17">
        <v>45172</v>
      </c>
      <c r="C7" s="3"/>
      <c r="D7" s="8">
        <v>10</v>
      </c>
      <c r="E7" s="18">
        <v>0.37555089896112021</v>
      </c>
      <c r="F7" s="18">
        <v>0.5428507209046558</v>
      </c>
      <c r="H7" s="18">
        <f t="shared" si="0"/>
        <v>0.69181247164094772</v>
      </c>
      <c r="I7" s="18"/>
      <c r="J7" s="18">
        <v>3.2994350282485878</v>
      </c>
      <c r="K7" s="18">
        <v>0.30308219178082191</v>
      </c>
      <c r="L7" s="18"/>
      <c r="N7" s="20">
        <v>2.64E-2</v>
      </c>
      <c r="P7" s="18"/>
      <c r="Q7" s="18"/>
    </row>
    <row r="8" spans="1:24" s="8" customFormat="1" x14ac:dyDescent="0.3">
      <c r="A8" s="8">
        <v>1</v>
      </c>
      <c r="B8" s="17">
        <v>45172</v>
      </c>
      <c r="C8" s="3"/>
      <c r="D8" s="8">
        <v>20</v>
      </c>
      <c r="E8" s="18">
        <v>0.88120665481049076</v>
      </c>
      <c r="F8" s="18">
        <v>1.4796562663133963</v>
      </c>
      <c r="H8" s="18">
        <f t="shared" si="0"/>
        <v>0.59554821945642888</v>
      </c>
      <c r="I8" s="18"/>
      <c r="J8" s="18">
        <v>3.098901098901099</v>
      </c>
      <c r="K8" s="18">
        <v>0.32269503546099293</v>
      </c>
      <c r="L8" s="18"/>
      <c r="N8" s="20">
        <v>2.75E-2</v>
      </c>
      <c r="P8" s="18"/>
      <c r="Q8" s="18"/>
    </row>
    <row r="9" spans="1:24" s="8" customFormat="1" x14ac:dyDescent="0.3">
      <c r="A9" s="8">
        <v>1</v>
      </c>
      <c r="B9" s="17">
        <v>45172</v>
      </c>
      <c r="C9" s="3"/>
      <c r="D9" s="8">
        <v>30</v>
      </c>
      <c r="E9" s="18">
        <v>1.5714083069552522</v>
      </c>
      <c r="F9" s="18">
        <v>3.0309772118071394</v>
      </c>
      <c r="H9" s="18">
        <f t="shared" si="0"/>
        <v>0.51844939672718349</v>
      </c>
      <c r="I9" s="18"/>
      <c r="J9" s="18">
        <v>2.9199549041713642</v>
      </c>
      <c r="K9" s="18">
        <v>0.34247104247104249</v>
      </c>
      <c r="L9" s="18"/>
      <c r="N9" s="20">
        <v>3.4099999999999998E-2</v>
      </c>
      <c r="P9" s="18"/>
      <c r="Q9" s="18"/>
    </row>
    <row r="10" spans="1:24" s="8" customFormat="1" x14ac:dyDescent="0.3">
      <c r="A10" s="8">
        <v>1</v>
      </c>
      <c r="B10" s="17">
        <v>45172</v>
      </c>
      <c r="C10" s="3"/>
      <c r="D10" s="8">
        <v>37</v>
      </c>
      <c r="E10" s="18">
        <v>1.9377319111016027</v>
      </c>
      <c r="F10" s="18">
        <v>3.2509778056541938</v>
      </c>
      <c r="H10" s="18">
        <f t="shared" si="0"/>
        <v>0.59604587509992957</v>
      </c>
      <c r="I10" s="18"/>
      <c r="J10" s="18">
        <v>3.1</v>
      </c>
      <c r="K10" s="18">
        <v>0.32258064516129031</v>
      </c>
      <c r="L10" s="18"/>
      <c r="M10" s="8">
        <v>37</v>
      </c>
      <c r="N10" s="22">
        <v>5.1299999999999998E-2</v>
      </c>
      <c r="P10" s="18"/>
      <c r="Q10" s="18"/>
    </row>
    <row r="11" spans="1:24" s="8" customFormat="1" x14ac:dyDescent="0.3">
      <c r="B11" s="17"/>
      <c r="C11" s="3"/>
      <c r="E11" s="18"/>
      <c r="F11" s="18"/>
      <c r="H11" s="18"/>
      <c r="I11" s="18"/>
      <c r="J11" s="18"/>
      <c r="K11" s="18"/>
      <c r="L11" s="18"/>
      <c r="N11" s="20"/>
      <c r="P11" s="18"/>
      <c r="Q11" s="18"/>
    </row>
    <row r="12" spans="1:24" s="8" customFormat="1" x14ac:dyDescent="0.3">
      <c r="A12" s="8">
        <v>2</v>
      </c>
      <c r="B12" s="17">
        <v>45172</v>
      </c>
      <c r="C12" s="3"/>
      <c r="D12" s="8">
        <v>3.3</v>
      </c>
      <c r="E12" s="18">
        <v>0.26574609066536264</v>
      </c>
      <c r="F12" s="18">
        <v>0.33614423647830965</v>
      </c>
      <c r="H12" s="18">
        <f t="shared" si="0"/>
        <v>0.79057161131040365</v>
      </c>
      <c r="I12" s="18"/>
      <c r="J12" s="18">
        <v>3.4827586206896552</v>
      </c>
      <c r="K12" s="18">
        <v>0.28712871287128711</v>
      </c>
      <c r="L12" s="18"/>
      <c r="N12" s="20">
        <v>2.1999999999999999E-2</v>
      </c>
      <c r="P12" s="18"/>
      <c r="Q12" s="18"/>
    </row>
    <row r="13" spans="1:24" s="8" customFormat="1" x14ac:dyDescent="0.3">
      <c r="A13" s="8">
        <v>2</v>
      </c>
      <c r="B13" s="17">
        <v>45172</v>
      </c>
      <c r="C13" s="3"/>
      <c r="D13" s="8">
        <v>10</v>
      </c>
      <c r="E13" s="18">
        <v>0.40507824236838263</v>
      </c>
      <c r="F13" s="18">
        <v>0.44587015117956791</v>
      </c>
      <c r="H13" s="18">
        <f t="shared" si="0"/>
        <v>0.9085116850651056</v>
      </c>
      <c r="I13" s="18"/>
      <c r="J13" s="18">
        <v>3.6768292682926829</v>
      </c>
      <c r="K13" s="18">
        <v>0.27197346600331673</v>
      </c>
      <c r="L13" s="18"/>
      <c r="N13" s="20">
        <v>2.1999999999999999E-2</v>
      </c>
      <c r="P13" s="18"/>
      <c r="Q13" s="18"/>
    </row>
    <row r="14" spans="1:24" s="8" customFormat="1" x14ac:dyDescent="0.3">
      <c r="A14" s="8">
        <v>2</v>
      </c>
      <c r="B14" s="17">
        <v>45172</v>
      </c>
      <c r="C14" s="3"/>
      <c r="D14" s="8">
        <v>20</v>
      </c>
      <c r="E14" s="18">
        <v>0.43552831525712216</v>
      </c>
      <c r="F14" s="18">
        <v>0.50881685319243264</v>
      </c>
      <c r="H14" s="18">
        <f t="shared" si="0"/>
        <v>0.85596283323659283</v>
      </c>
      <c r="I14" s="18"/>
      <c r="J14" s="18">
        <v>3.593406593406594</v>
      </c>
      <c r="K14" s="18">
        <v>0.27828746177370028</v>
      </c>
      <c r="L14" s="18"/>
      <c r="N14" s="20">
        <v>2.3199999999999998E-2</v>
      </c>
      <c r="P14" s="18"/>
      <c r="Q14" s="18"/>
    </row>
    <row r="15" spans="1:24" s="8" customFormat="1" x14ac:dyDescent="0.3">
      <c r="A15" s="8">
        <v>2</v>
      </c>
      <c r="B15" s="17">
        <v>45172</v>
      </c>
      <c r="C15" s="3"/>
      <c r="D15" s="8">
        <v>30</v>
      </c>
      <c r="E15" s="18">
        <v>1.4459170974743862</v>
      </c>
      <c r="F15" s="18">
        <v>2.720616805080518</v>
      </c>
      <c r="H15" s="18">
        <f t="shared" si="0"/>
        <v>0.53146664931800036</v>
      </c>
      <c r="I15" s="18"/>
      <c r="J15" s="18">
        <v>2.9514321295143215</v>
      </c>
      <c r="K15" s="18">
        <v>0.33881856540084387</v>
      </c>
      <c r="L15" s="18"/>
      <c r="N15" s="20">
        <v>2.9399999999999999E-2</v>
      </c>
      <c r="P15" s="18"/>
      <c r="Q15" s="18"/>
    </row>
    <row r="16" spans="1:24" s="8" customFormat="1" x14ac:dyDescent="0.3">
      <c r="A16" s="8">
        <v>2</v>
      </c>
      <c r="B16" s="17">
        <v>45172</v>
      </c>
      <c r="C16" s="3"/>
      <c r="D16" s="8">
        <v>40</v>
      </c>
      <c r="E16" s="18">
        <v>1.671063090954763</v>
      </c>
      <c r="F16" s="18">
        <v>2.9416998472411402</v>
      </c>
      <c r="H16" s="18">
        <f t="shared" si="0"/>
        <v>0.56806036568345408</v>
      </c>
      <c r="I16" s="18"/>
      <c r="J16" s="18">
        <v>3.0371203599550056</v>
      </c>
      <c r="K16" s="18">
        <v>0.32925925925925931</v>
      </c>
      <c r="L16" s="18"/>
      <c r="M16" s="8">
        <v>40</v>
      </c>
      <c r="N16" s="22">
        <v>4.36E-2</v>
      </c>
      <c r="P16" s="18"/>
      <c r="Q16" s="18"/>
    </row>
    <row r="17" spans="1:17" s="8" customFormat="1" x14ac:dyDescent="0.3">
      <c r="B17" s="17"/>
      <c r="C17" s="3"/>
      <c r="E17" s="18"/>
      <c r="F17" s="18"/>
      <c r="H17" s="18"/>
      <c r="I17" s="18"/>
      <c r="J17" s="18"/>
      <c r="K17" s="18"/>
      <c r="L17" s="18"/>
      <c r="N17" s="20"/>
      <c r="P17" s="18"/>
      <c r="Q17" s="18"/>
    </row>
    <row r="18" spans="1:17" s="8" customFormat="1" x14ac:dyDescent="0.3">
      <c r="A18" s="8">
        <v>3</v>
      </c>
      <c r="B18" s="17">
        <v>45172</v>
      </c>
      <c r="C18" s="3"/>
      <c r="D18" s="8">
        <v>3.1</v>
      </c>
      <c r="E18" s="18">
        <v>0.41061461925724441</v>
      </c>
      <c r="F18" s="18">
        <v>0.4143902257069273</v>
      </c>
      <c r="H18" s="18">
        <f t="shared" si="0"/>
        <v>0.9908887656719173</v>
      </c>
      <c r="I18" s="18"/>
      <c r="J18" s="18">
        <v>3.7987421383647799</v>
      </c>
      <c r="K18" s="18">
        <v>0.26324503311258279</v>
      </c>
      <c r="L18" s="18"/>
      <c r="N18" s="20">
        <v>2.3300000000000001E-2</v>
      </c>
      <c r="P18" s="18"/>
      <c r="Q18" s="18"/>
    </row>
    <row r="19" spans="1:17" s="8" customFormat="1" x14ac:dyDescent="0.3">
      <c r="A19" s="8">
        <v>3</v>
      </c>
      <c r="B19" s="17">
        <v>45172</v>
      </c>
      <c r="C19" s="3"/>
      <c r="D19" s="8">
        <v>9.9</v>
      </c>
      <c r="E19" s="18">
        <v>0.44291015110893778</v>
      </c>
      <c r="F19" s="18">
        <v>0.47549146875683818</v>
      </c>
      <c r="H19" s="18">
        <f t="shared" si="0"/>
        <v>0.93147864937917069</v>
      </c>
      <c r="I19" s="18"/>
      <c r="J19" s="18">
        <v>3.7118644067796613</v>
      </c>
      <c r="K19" s="18">
        <v>0.26940639269406391</v>
      </c>
      <c r="L19" s="18"/>
      <c r="N19" s="20">
        <v>2.4500000000000001E-2</v>
      </c>
      <c r="P19" s="18"/>
      <c r="Q19" s="18"/>
    </row>
    <row r="20" spans="1:17" s="8" customFormat="1" x14ac:dyDescent="0.3">
      <c r="A20" s="8">
        <v>3</v>
      </c>
      <c r="B20" s="17">
        <v>45172</v>
      </c>
      <c r="C20" s="3"/>
      <c r="D20" s="8">
        <v>19.899999999999999</v>
      </c>
      <c r="E20" s="18">
        <v>0.56286498370094173</v>
      </c>
      <c r="F20" s="18">
        <v>0.77582212322205368</v>
      </c>
      <c r="H20" s="18">
        <f t="shared" si="0"/>
        <v>0.72550777665802657</v>
      </c>
      <c r="I20" s="18"/>
      <c r="J20" s="18">
        <v>3.3643410852713176</v>
      </c>
      <c r="K20" s="18">
        <v>0.2972350230414747</v>
      </c>
      <c r="L20" s="18"/>
      <c r="N20" s="20">
        <v>2.5499999999999998E-2</v>
      </c>
      <c r="P20" s="18"/>
      <c r="Q20" s="18"/>
    </row>
    <row r="21" spans="1:17" s="8" customFormat="1" x14ac:dyDescent="0.3">
      <c r="A21" s="8">
        <v>3</v>
      </c>
      <c r="B21" s="17">
        <v>45172</v>
      </c>
      <c r="C21" s="3"/>
      <c r="D21" s="8">
        <v>30.2</v>
      </c>
      <c r="E21" s="18">
        <v>1.4246943194004165</v>
      </c>
      <c r="F21" s="18">
        <v>2.3941960321318492</v>
      </c>
      <c r="H21" s="18">
        <f t="shared" si="0"/>
        <v>0.5950616826191274</v>
      </c>
      <c r="I21" s="18"/>
      <c r="J21" s="18">
        <v>3.097826086956522</v>
      </c>
      <c r="K21" s="18">
        <v>0.3228070175438596</v>
      </c>
      <c r="L21" s="18"/>
      <c r="M21" s="8">
        <v>30</v>
      </c>
      <c r="N21" s="22">
        <v>4.4699999999999997E-2</v>
      </c>
      <c r="P21" s="18"/>
      <c r="Q21" s="18"/>
    </row>
    <row r="22" spans="1:17" s="8" customFormat="1" x14ac:dyDescent="0.3">
      <c r="A22" s="8">
        <v>3</v>
      </c>
      <c r="B22" s="17">
        <v>45172</v>
      </c>
      <c r="C22" s="3"/>
      <c r="D22" s="8">
        <v>40</v>
      </c>
      <c r="E22" s="18">
        <v>1.1893983016237935</v>
      </c>
      <c r="F22" s="18">
        <v>1.6695807523086503</v>
      </c>
      <c r="H22" s="18">
        <f t="shared" si="0"/>
        <v>0.71239339575466842</v>
      </c>
      <c r="I22" s="18"/>
      <c r="J22" s="18">
        <v>3.339382940108893</v>
      </c>
      <c r="K22" s="18">
        <v>0.29945652173913045</v>
      </c>
      <c r="L22" s="18"/>
      <c r="N22" s="20">
        <v>4.2700000000000002E-2</v>
      </c>
      <c r="P22" s="18"/>
      <c r="Q22" s="18"/>
    </row>
    <row r="23" spans="1:17" s="8" customFormat="1" x14ac:dyDescent="0.3">
      <c r="A23" s="8">
        <v>3</v>
      </c>
      <c r="B23" s="17">
        <v>45172</v>
      </c>
      <c r="C23" s="3"/>
      <c r="D23" s="8">
        <v>52.1</v>
      </c>
      <c r="E23" s="18">
        <v>0.7012744059224848</v>
      </c>
      <c r="F23" s="18">
        <v>2.079874002258622</v>
      </c>
      <c r="H23" s="18">
        <f t="shared" si="0"/>
        <v>0.33717158114431051</v>
      </c>
      <c r="I23" s="18"/>
      <c r="J23" s="18">
        <v>2.4179104477611939</v>
      </c>
      <c r="K23" s="18">
        <v>0.41358024691358025</v>
      </c>
      <c r="L23" s="18"/>
      <c r="N23" s="20">
        <v>3.1099999999999999E-2</v>
      </c>
      <c r="P23" s="18"/>
      <c r="Q23" s="18"/>
    </row>
    <row r="24" spans="1:17" s="8" customFormat="1" x14ac:dyDescent="0.3">
      <c r="B24" s="17"/>
      <c r="C24" s="3"/>
      <c r="E24" s="18"/>
      <c r="F24" s="18"/>
      <c r="H24" s="18"/>
      <c r="I24" s="18"/>
      <c r="J24" s="18"/>
      <c r="K24" s="18"/>
      <c r="L24" s="18"/>
      <c r="N24" s="20"/>
      <c r="P24" s="18"/>
      <c r="Q24" s="18"/>
    </row>
    <row r="25" spans="1:17" s="8" customFormat="1" x14ac:dyDescent="0.3">
      <c r="A25" s="8">
        <v>4</v>
      </c>
      <c r="B25" s="17">
        <v>45173</v>
      </c>
      <c r="C25" s="3"/>
      <c r="D25" s="8">
        <v>4</v>
      </c>
      <c r="E25" s="18">
        <v>0.35340539140567323</v>
      </c>
      <c r="F25" s="18">
        <v>0.42490106610769618</v>
      </c>
      <c r="H25" s="18">
        <f t="shared" si="0"/>
        <v>0.83173571354631171</v>
      </c>
      <c r="I25" s="18"/>
      <c r="J25" s="18">
        <v>3.65606936416185</v>
      </c>
      <c r="K25" s="18">
        <v>0.2735177865612648</v>
      </c>
      <c r="L25" s="18"/>
      <c r="N25" s="20">
        <v>2.6599999999999999E-2</v>
      </c>
      <c r="P25" s="18"/>
      <c r="Q25" s="18"/>
    </row>
    <row r="26" spans="1:17" s="8" customFormat="1" x14ac:dyDescent="0.3">
      <c r="A26" s="8">
        <v>4</v>
      </c>
      <c r="B26" s="17">
        <v>45173</v>
      </c>
      <c r="C26" s="3"/>
      <c r="D26" s="8">
        <v>10</v>
      </c>
      <c r="E26" s="18">
        <v>0.40969188977576748</v>
      </c>
      <c r="F26" s="18">
        <v>0.56578553697432232</v>
      </c>
      <c r="H26" s="18">
        <f t="shared" si="0"/>
        <v>0.72411163418332658</v>
      </c>
      <c r="I26" s="18"/>
      <c r="J26" s="18">
        <v>2.861198738170347</v>
      </c>
      <c r="K26" s="18">
        <v>0.34950385887541341</v>
      </c>
      <c r="L26" s="18"/>
      <c r="N26" s="20">
        <v>3.0099999999999998E-2</v>
      </c>
      <c r="P26" s="18"/>
      <c r="Q26" s="18"/>
    </row>
    <row r="27" spans="1:17" s="8" customFormat="1" x14ac:dyDescent="0.3">
      <c r="A27" s="8">
        <v>4</v>
      </c>
      <c r="B27" s="17">
        <v>45173</v>
      </c>
      <c r="C27" s="3"/>
      <c r="D27" s="8">
        <v>20</v>
      </c>
      <c r="E27" s="18">
        <v>0.54441039407140268</v>
      </c>
      <c r="F27" s="18">
        <v>1.1004105861401845</v>
      </c>
      <c r="H27" s="18">
        <f t="shared" si="0"/>
        <v>0.49473387563544274</v>
      </c>
      <c r="I27" s="18"/>
      <c r="J27" s="18">
        <v>3.4448160535117061</v>
      </c>
      <c r="K27" s="18">
        <v>0.29029126213592232</v>
      </c>
      <c r="L27" s="18"/>
      <c r="N27" s="20">
        <v>3.3500000000000002E-2</v>
      </c>
      <c r="P27" s="18"/>
      <c r="Q27" s="18"/>
    </row>
    <row r="28" spans="1:17" s="8" customFormat="1" x14ac:dyDescent="0.3">
      <c r="A28" s="8">
        <v>4</v>
      </c>
      <c r="B28" s="17">
        <v>45173</v>
      </c>
      <c r="C28" s="3"/>
      <c r="D28" s="8">
        <v>30</v>
      </c>
      <c r="E28" s="18">
        <v>1.1774028183645928</v>
      </c>
      <c r="F28" s="18">
        <v>1.5933681703830023</v>
      </c>
      <c r="H28" s="18">
        <f t="shared" si="0"/>
        <v>0.73893958737833787</v>
      </c>
      <c r="I28" s="18"/>
      <c r="J28" s="18">
        <v>3.3617021276595747</v>
      </c>
      <c r="K28" s="18">
        <v>0.29746835443037972</v>
      </c>
      <c r="L28" s="18"/>
      <c r="M28" s="8">
        <v>30</v>
      </c>
      <c r="N28" s="22">
        <v>4.2999999999999997E-2</v>
      </c>
      <c r="P28" s="18"/>
      <c r="Q28" s="18"/>
    </row>
    <row r="29" spans="1:17" s="8" customFormat="1" x14ac:dyDescent="0.3">
      <c r="A29" s="8">
        <v>4</v>
      </c>
      <c r="B29" s="17">
        <v>45173</v>
      </c>
      <c r="C29" s="3"/>
      <c r="D29" s="8">
        <v>40</v>
      </c>
      <c r="E29" s="18">
        <v>0.67451525095965315</v>
      </c>
      <c r="F29" s="18">
        <v>0.87690895435032978</v>
      </c>
      <c r="H29" s="18">
        <f t="shared" si="0"/>
        <v>0.76919644578082469</v>
      </c>
      <c r="I29" s="18"/>
      <c r="J29" s="18">
        <v>3.3895131086142323</v>
      </c>
      <c r="K29" s="18">
        <v>0.29502762430939228</v>
      </c>
      <c r="L29" s="18"/>
      <c r="N29" s="20">
        <v>3.6700000000000003E-2</v>
      </c>
      <c r="P29" s="18"/>
      <c r="Q29" s="18"/>
    </row>
    <row r="30" spans="1:17" s="8" customFormat="1" x14ac:dyDescent="0.3">
      <c r="A30" s="8">
        <v>4</v>
      </c>
      <c r="B30" s="17">
        <v>45173</v>
      </c>
      <c r="C30" s="3"/>
      <c r="D30" s="8">
        <v>50</v>
      </c>
      <c r="E30" s="18">
        <v>0.1695976786954641</v>
      </c>
      <c r="F30" s="18">
        <v>0.18946103370403702</v>
      </c>
      <c r="H30" s="18">
        <f t="shared" si="0"/>
        <v>0.89515862644557254</v>
      </c>
      <c r="I30" s="18"/>
      <c r="J30" s="18">
        <v>3.5533333333333332</v>
      </c>
      <c r="K30" s="18">
        <v>0.28142589118198874</v>
      </c>
      <c r="L30" s="18"/>
      <c r="N30" s="20">
        <v>2.4E-2</v>
      </c>
      <c r="P30" s="18"/>
      <c r="Q30" s="18"/>
    </row>
    <row r="31" spans="1:17" s="8" customFormat="1" x14ac:dyDescent="0.3">
      <c r="B31" s="17"/>
      <c r="C31" s="3"/>
      <c r="E31" s="18"/>
      <c r="F31" s="18"/>
      <c r="H31" s="18"/>
      <c r="I31" s="18"/>
      <c r="J31" s="18"/>
      <c r="K31" s="18"/>
      <c r="L31" s="18"/>
      <c r="N31" s="20"/>
      <c r="P31" s="18"/>
      <c r="Q31" s="18"/>
    </row>
    <row r="32" spans="1:17" s="8" customFormat="1" x14ac:dyDescent="0.3">
      <c r="A32" s="8">
        <v>5</v>
      </c>
      <c r="B32" s="17">
        <v>45173</v>
      </c>
      <c r="C32" s="3"/>
      <c r="D32" s="8">
        <v>2.9</v>
      </c>
      <c r="E32" s="24">
        <v>0.34971447347976542</v>
      </c>
      <c r="F32" s="18">
        <v>0.35595004799902286</v>
      </c>
      <c r="H32" s="18">
        <f t="shared" si="0"/>
        <v>0.98248188319032181</v>
      </c>
      <c r="I32" s="18"/>
      <c r="J32" s="18">
        <v>3.7867647058823533</v>
      </c>
      <c r="K32" s="18">
        <v>0.26407766990291259</v>
      </c>
      <c r="L32" s="18"/>
      <c r="N32" s="20">
        <v>2.5899999999999999E-2</v>
      </c>
      <c r="P32" s="18"/>
      <c r="Q32" s="18"/>
    </row>
    <row r="33" spans="1:17" s="8" customFormat="1" x14ac:dyDescent="0.3">
      <c r="A33" s="8">
        <v>5</v>
      </c>
      <c r="B33" s="17">
        <v>45173</v>
      </c>
      <c r="C33" s="3"/>
      <c r="D33" s="8">
        <v>10.3</v>
      </c>
      <c r="E33" s="18">
        <v>0.45490563436813819</v>
      </c>
      <c r="F33" s="18">
        <v>0.40642017861332402</v>
      </c>
      <c r="H33" s="18">
        <f t="shared" si="0"/>
        <v>1.1192988397383294</v>
      </c>
      <c r="I33" s="18"/>
      <c r="J33" s="18">
        <v>3.9698795180722892</v>
      </c>
      <c r="K33" s="18">
        <v>0.25189681335356601</v>
      </c>
      <c r="L33" s="18"/>
      <c r="N33" s="20">
        <v>2.5000000000000001E-2</v>
      </c>
      <c r="P33" s="18"/>
      <c r="Q33" s="18"/>
    </row>
    <row r="34" spans="1:17" s="8" customFormat="1" x14ac:dyDescent="0.3">
      <c r="A34" s="8">
        <v>5</v>
      </c>
      <c r="B34" s="17">
        <v>45173</v>
      </c>
      <c r="C34" s="3"/>
      <c r="D34" s="8">
        <v>20</v>
      </c>
      <c r="E34" s="18">
        <v>0.60807872829331255</v>
      </c>
      <c r="F34" s="18">
        <v>0.82400515353128745</v>
      </c>
      <c r="H34" s="18">
        <f t="shared" si="0"/>
        <v>0.73795500633385758</v>
      </c>
      <c r="I34" s="18"/>
      <c r="J34" s="18">
        <v>3.3876811594202896</v>
      </c>
      <c r="K34" s="18">
        <v>0.29518716577540111</v>
      </c>
      <c r="L34" s="18"/>
      <c r="N34" s="20">
        <v>2.7799999999999998E-2</v>
      </c>
      <c r="P34" s="18"/>
      <c r="Q34" s="18"/>
    </row>
    <row r="35" spans="1:17" s="8" customFormat="1" x14ac:dyDescent="0.3">
      <c r="A35" s="8">
        <v>5</v>
      </c>
      <c r="B35" s="17">
        <v>45173</v>
      </c>
      <c r="C35" s="3"/>
      <c r="D35" s="8">
        <v>30</v>
      </c>
      <c r="E35" s="18">
        <v>1.337957748141583</v>
      </c>
      <c r="F35" s="18">
        <v>1.9309293734145687</v>
      </c>
      <c r="H35" s="18">
        <f t="shared" si="0"/>
        <v>0.69290869286202772</v>
      </c>
      <c r="I35" s="18"/>
      <c r="J35" s="18">
        <v>3.3015873015873014</v>
      </c>
      <c r="K35" s="18">
        <v>0.30288461538461536</v>
      </c>
      <c r="L35" s="18"/>
      <c r="M35" s="8">
        <v>30</v>
      </c>
      <c r="N35" s="22">
        <v>4.0399999999999998E-2</v>
      </c>
      <c r="P35" s="18"/>
      <c r="Q35" s="18"/>
    </row>
    <row r="36" spans="1:17" s="8" customFormat="1" x14ac:dyDescent="0.3">
      <c r="A36" s="8">
        <v>5</v>
      </c>
      <c r="B36" s="17">
        <v>45173</v>
      </c>
      <c r="C36" s="3"/>
      <c r="D36" s="8">
        <v>39.9</v>
      </c>
      <c r="E36" s="18">
        <v>0.70250471189778729</v>
      </c>
      <c r="F36" s="18">
        <v>0.88869960124065683</v>
      </c>
      <c r="H36" s="18">
        <f t="shared" si="0"/>
        <v>0.79048613380389199</v>
      </c>
      <c r="I36" s="18"/>
      <c r="J36" s="18">
        <v>3.4826086956521736</v>
      </c>
      <c r="K36" s="18">
        <v>0.28714107365792763</v>
      </c>
      <c r="L36" s="18"/>
      <c r="N36" s="20">
        <v>3.27E-2</v>
      </c>
      <c r="P36" s="18"/>
      <c r="Q36" s="18"/>
    </row>
    <row r="37" spans="1:17" s="8" customFormat="1" x14ac:dyDescent="0.3">
      <c r="A37" s="8">
        <v>5</v>
      </c>
      <c r="B37" s="17">
        <v>45173</v>
      </c>
      <c r="C37" s="3"/>
      <c r="D37" s="8">
        <v>55.2</v>
      </c>
      <c r="E37" s="18">
        <v>4.1984191407201402E-2</v>
      </c>
      <c r="F37" s="18">
        <v>0.10641290649201436</v>
      </c>
      <c r="H37" s="18">
        <f t="shared" si="0"/>
        <v>0.39454040671609752</v>
      </c>
      <c r="I37" s="18"/>
      <c r="J37" s="18">
        <v>2.5909090909090913</v>
      </c>
      <c r="K37" s="18">
        <v>0.38596491228070173</v>
      </c>
      <c r="L37" s="18"/>
      <c r="N37" s="20">
        <v>2.3199999999999998E-2</v>
      </c>
      <c r="P37" s="18"/>
      <c r="Q37" s="18"/>
    </row>
    <row r="38" spans="1:17" s="8" customFormat="1" x14ac:dyDescent="0.3">
      <c r="B38" s="17"/>
      <c r="C38" s="3"/>
      <c r="E38" s="18"/>
      <c r="F38" s="18"/>
      <c r="H38" s="18"/>
      <c r="I38" s="18"/>
      <c r="J38" s="18"/>
      <c r="K38" s="18"/>
      <c r="L38" s="18"/>
      <c r="N38" s="20"/>
      <c r="P38" s="18"/>
      <c r="Q38" s="18"/>
    </row>
    <row r="39" spans="1:17" s="8" customFormat="1" x14ac:dyDescent="0.3">
      <c r="A39" s="8">
        <v>6</v>
      </c>
      <c r="B39" s="17">
        <v>45173</v>
      </c>
      <c r="C39" s="3"/>
      <c r="D39" s="8">
        <v>2.2999999999999998</v>
      </c>
      <c r="E39" s="18">
        <v>0.36909179259078151</v>
      </c>
      <c r="F39" s="18">
        <v>0.31581789002098348</v>
      </c>
      <c r="H39" s="18">
        <f t="shared" si="0"/>
        <v>1.1686855122939945</v>
      </c>
      <c r="I39" s="18"/>
      <c r="J39" s="18">
        <v>4.0303030303030312</v>
      </c>
      <c r="K39" s="18">
        <v>0.24812030075187969</v>
      </c>
      <c r="L39" s="18"/>
      <c r="N39" s="20">
        <v>1.8608</v>
      </c>
      <c r="P39" s="18"/>
      <c r="Q39" s="18"/>
    </row>
    <row r="40" spans="1:17" s="8" customFormat="1" x14ac:dyDescent="0.3">
      <c r="A40" s="8">
        <v>6</v>
      </c>
      <c r="B40" s="17">
        <v>45173</v>
      </c>
      <c r="C40" s="3"/>
      <c r="D40" s="8">
        <v>10.1</v>
      </c>
      <c r="E40" s="18">
        <v>0.57486046696014215</v>
      </c>
      <c r="F40" s="18">
        <v>0.44731534724074978</v>
      </c>
      <c r="H40" s="18">
        <f t="shared" si="0"/>
        <v>1.2851346829616965</v>
      </c>
      <c r="I40" s="18"/>
      <c r="J40" s="18">
        <v>4.1624365482233507</v>
      </c>
      <c r="K40" s="18">
        <v>0.24024390243902438</v>
      </c>
      <c r="L40" s="18"/>
      <c r="N40" s="20">
        <v>1.8653999999999999</v>
      </c>
      <c r="P40" s="18"/>
      <c r="Q40" s="18"/>
    </row>
    <row r="41" spans="1:17" s="8" customFormat="1" x14ac:dyDescent="0.3">
      <c r="A41" s="8">
        <v>6</v>
      </c>
      <c r="B41" s="17">
        <v>45173</v>
      </c>
      <c r="C41" s="3"/>
      <c r="D41" s="8">
        <v>20</v>
      </c>
      <c r="E41" s="18">
        <v>0.57486046696014215</v>
      </c>
      <c r="F41" s="18">
        <v>1.0803379326849567</v>
      </c>
      <c r="H41" s="18">
        <f t="shared" si="0"/>
        <v>0.53211171205610197</v>
      </c>
      <c r="I41" s="18"/>
      <c r="J41" s="18">
        <v>2.9529780564263324</v>
      </c>
      <c r="K41" s="18">
        <v>0.33864118895966028</v>
      </c>
      <c r="L41" s="18"/>
      <c r="N41" s="20">
        <v>1.8852</v>
      </c>
      <c r="P41" s="18"/>
      <c r="Q41" s="18"/>
    </row>
    <row r="42" spans="1:17" s="8" customFormat="1" x14ac:dyDescent="0.3">
      <c r="A42" s="8">
        <v>6</v>
      </c>
      <c r="B42" s="17">
        <v>45173</v>
      </c>
      <c r="C42" s="3"/>
      <c r="D42" s="8">
        <v>30</v>
      </c>
      <c r="E42" s="18">
        <v>1.2447620705124105</v>
      </c>
      <c r="F42" s="18">
        <v>2.2887492465982864</v>
      </c>
      <c r="H42" s="18">
        <f t="shared" si="0"/>
        <v>0.54386126936468504</v>
      </c>
      <c r="I42" s="18"/>
      <c r="J42" s="18">
        <v>2.9809104258443466</v>
      </c>
      <c r="K42" s="18">
        <v>0.33546798029556646</v>
      </c>
      <c r="L42" s="18"/>
      <c r="M42" s="8">
        <v>30</v>
      </c>
      <c r="N42" s="20">
        <v>1.8935999999999999</v>
      </c>
      <c r="P42" s="18"/>
      <c r="Q42" s="18"/>
    </row>
    <row r="43" spans="1:17" s="8" customFormat="1" x14ac:dyDescent="0.3">
      <c r="A43" s="8">
        <v>6</v>
      </c>
      <c r="B43" s="17">
        <v>45173</v>
      </c>
      <c r="C43" s="3"/>
      <c r="D43" s="8">
        <v>40</v>
      </c>
      <c r="E43" s="18">
        <v>0.81661559110710402</v>
      </c>
      <c r="F43" s="18">
        <v>1.0772634555087617</v>
      </c>
      <c r="H43" s="18">
        <f t="shared" si="0"/>
        <v>0.7580463134911033</v>
      </c>
      <c r="I43" s="18"/>
      <c r="J43" s="18">
        <v>3.4246575342465753</v>
      </c>
      <c r="K43" s="18">
        <v>0.29199999999999998</v>
      </c>
      <c r="L43" s="18"/>
      <c r="N43" s="22">
        <v>1.907</v>
      </c>
      <c r="P43" s="18"/>
      <c r="Q43" s="18"/>
    </row>
    <row r="44" spans="1:17" s="8" customFormat="1" x14ac:dyDescent="0.3">
      <c r="A44" s="8">
        <v>6</v>
      </c>
      <c r="B44" s="17">
        <v>45173</v>
      </c>
      <c r="C44" s="3"/>
      <c r="D44" s="8">
        <v>0</v>
      </c>
      <c r="E44" s="18">
        <v>0.12927440035492122</v>
      </c>
      <c r="F44" s="18">
        <v>0.1452083436614604</v>
      </c>
      <c r="H44" s="18">
        <f t="shared" si="0"/>
        <v>0.89026840397210449</v>
      </c>
      <c r="I44" s="18"/>
      <c r="J44" s="18">
        <v>3.6483931947069945</v>
      </c>
      <c r="K44" s="18">
        <v>0.27409326424870467</v>
      </c>
      <c r="L44" s="18"/>
      <c r="N44" s="20">
        <v>1.8828</v>
      </c>
      <c r="P44" s="18"/>
      <c r="Q44" s="18"/>
    </row>
    <row r="45" spans="1:17" s="8" customFormat="1" x14ac:dyDescent="0.3">
      <c r="B45" s="17"/>
      <c r="C45" s="3"/>
      <c r="N45" s="20"/>
      <c r="P45" s="18"/>
      <c r="Q45" s="18"/>
    </row>
    <row r="46" spans="1:17" s="8" customFormat="1" x14ac:dyDescent="0.3">
      <c r="A46" s="8">
        <v>7</v>
      </c>
      <c r="B46" s="17">
        <v>45174</v>
      </c>
      <c r="C46" s="3"/>
      <c r="D46" s="8">
        <v>2</v>
      </c>
      <c r="E46" s="18">
        <v>5.0381029688641672E-2</v>
      </c>
      <c r="F46" s="18">
        <v>0.36160252182176861</v>
      </c>
      <c r="H46" s="18">
        <f t="shared" ref="H46:H51" si="1">E46/F46</f>
        <v>0.13932709715302852</v>
      </c>
      <c r="I46" s="18"/>
      <c r="J46" s="18">
        <v>1.6876574307304786</v>
      </c>
      <c r="K46" s="18">
        <v>0.59253731343283589</v>
      </c>
      <c r="L46" s="18"/>
      <c r="N46" s="20">
        <v>2.6700000000000002E-2</v>
      </c>
      <c r="P46" s="18"/>
      <c r="Q46" s="18"/>
    </row>
    <row r="47" spans="1:17" s="8" customFormat="1" x14ac:dyDescent="0.3">
      <c r="A47" s="8">
        <v>7</v>
      </c>
      <c r="B47" s="17">
        <v>45174</v>
      </c>
      <c r="C47" s="3"/>
      <c r="D47" s="8">
        <v>10</v>
      </c>
      <c r="E47" s="18">
        <v>7.0127440592248499E-2</v>
      </c>
      <c r="F47" s="18">
        <v>0.50063062825088911</v>
      </c>
      <c r="H47" s="18">
        <f t="shared" si="1"/>
        <v>0.1400782066356204</v>
      </c>
      <c r="I47" s="18"/>
      <c r="J47" s="18">
        <v>1.6909090909090911</v>
      </c>
      <c r="K47" s="18">
        <v>0.59139784946236551</v>
      </c>
      <c r="L47" s="18"/>
      <c r="N47" s="20">
        <v>2.69E-2</v>
      </c>
      <c r="P47" s="18"/>
      <c r="Q47" s="18"/>
    </row>
    <row r="48" spans="1:17" s="8" customFormat="1" x14ac:dyDescent="0.3">
      <c r="A48" s="8">
        <v>7</v>
      </c>
      <c r="B48" s="17">
        <v>45174</v>
      </c>
      <c r="C48" s="3"/>
      <c r="D48" s="8">
        <v>20</v>
      </c>
      <c r="E48" s="18">
        <v>8.212292385144887E-2</v>
      </c>
      <c r="F48" s="18">
        <v>0.79995772799703657</v>
      </c>
      <c r="H48" s="18">
        <f t="shared" si="1"/>
        <v>0.10265907932044266</v>
      </c>
      <c r="I48" s="18"/>
      <c r="J48" s="18">
        <v>1.5235294117647058</v>
      </c>
      <c r="K48" s="18">
        <v>0.65637065637065639</v>
      </c>
      <c r="L48" s="18"/>
      <c r="N48" s="20">
        <v>2.93E-2</v>
      </c>
      <c r="P48" s="18"/>
      <c r="Q48" s="18"/>
    </row>
    <row r="49" spans="1:17" s="8" customFormat="1" x14ac:dyDescent="0.3">
      <c r="A49" s="8">
        <v>7</v>
      </c>
      <c r="B49" s="17">
        <v>45174</v>
      </c>
      <c r="C49" s="3"/>
      <c r="D49" s="8">
        <v>30</v>
      </c>
      <c r="E49" s="18">
        <v>0.13748669274006609</v>
      </c>
      <c r="F49" s="18">
        <v>1.2842197696510218</v>
      </c>
      <c r="H49" s="18">
        <f t="shared" si="1"/>
        <v>0.10705853934753487</v>
      </c>
      <c r="I49" s="18"/>
      <c r="J49" s="18">
        <v>1.5437956204379562</v>
      </c>
      <c r="K49" s="18">
        <v>0.64775413711583929</v>
      </c>
      <c r="L49" s="18"/>
      <c r="M49" s="8">
        <v>30</v>
      </c>
      <c r="N49" s="22">
        <v>4.2700000000000002E-2</v>
      </c>
      <c r="P49" s="18"/>
      <c r="Q49" s="18"/>
    </row>
    <row r="50" spans="1:17" s="8" customFormat="1" x14ac:dyDescent="0.3">
      <c r="A50" s="8">
        <v>7</v>
      </c>
      <c r="B50" s="17">
        <v>45174</v>
      </c>
      <c r="C50" s="3"/>
      <c r="D50" s="8">
        <v>41</v>
      </c>
      <c r="E50" s="18">
        <v>5.5640587733060305E-2</v>
      </c>
      <c r="F50" s="18">
        <v>0.36827699612588827</v>
      </c>
      <c r="H50" s="18">
        <f t="shared" si="1"/>
        <v>0.15108352766633479</v>
      </c>
      <c r="I50" s="18"/>
      <c r="J50" s="18">
        <v>1.7380660954712361</v>
      </c>
      <c r="K50" s="18">
        <v>0.57535211267605635</v>
      </c>
      <c r="L50" s="18"/>
      <c r="N50" s="20">
        <v>2.7099999999999999E-2</v>
      </c>
      <c r="P50" s="18"/>
      <c r="Q50" s="18"/>
    </row>
    <row r="51" spans="1:17" s="8" customFormat="1" x14ac:dyDescent="0.3">
      <c r="A51" s="8">
        <v>7</v>
      </c>
      <c r="B51" s="17">
        <v>45174</v>
      </c>
      <c r="C51" s="3"/>
      <c r="D51" s="8">
        <v>56</v>
      </c>
      <c r="E51" s="18">
        <v>1.1534118518461922E-2</v>
      </c>
      <c r="F51" s="18">
        <v>0.11714588245708181</v>
      </c>
      <c r="H51" s="18">
        <f t="shared" si="1"/>
        <v>9.8459444553568698E-2</v>
      </c>
      <c r="I51" s="18"/>
      <c r="J51" s="18">
        <v>1.5040322580645162</v>
      </c>
      <c r="K51" s="18">
        <v>0.66487935656836461</v>
      </c>
      <c r="L51" s="18"/>
      <c r="N51" s="20">
        <v>2.3E-2</v>
      </c>
      <c r="P51" s="18"/>
      <c r="Q51" s="18"/>
    </row>
    <row r="52" spans="1:17" s="8" customFormat="1" x14ac:dyDescent="0.3">
      <c r="B52" s="17"/>
      <c r="C52" s="3"/>
      <c r="E52" s="18"/>
      <c r="F52" s="18"/>
      <c r="H52" s="18"/>
      <c r="I52" s="18"/>
      <c r="J52" s="18"/>
      <c r="K52" s="18"/>
      <c r="L52" s="18"/>
      <c r="N52" s="20"/>
      <c r="P52" s="18"/>
      <c r="Q52" s="18"/>
    </row>
    <row r="53" spans="1:17" s="8" customFormat="1" x14ac:dyDescent="0.3">
      <c r="A53" s="8">
        <v>8</v>
      </c>
      <c r="B53" s="17">
        <v>45174</v>
      </c>
      <c r="C53" s="3"/>
      <c r="D53" s="8">
        <v>3.3</v>
      </c>
      <c r="E53" s="18">
        <v>0.57393773747866528</v>
      </c>
      <c r="F53" s="18">
        <v>0.54163485162383096</v>
      </c>
      <c r="H53" s="18">
        <f t="shared" si="0"/>
        <v>1.0596395999223271</v>
      </c>
      <c r="I53" s="18"/>
      <c r="J53" s="18">
        <v>3.8930232558139535</v>
      </c>
      <c r="K53" s="18">
        <v>0.25686977299880526</v>
      </c>
      <c r="L53" s="18"/>
      <c r="N53" s="20">
        <v>2.69E-2</v>
      </c>
      <c r="P53" s="18"/>
      <c r="Q53" s="18"/>
    </row>
    <row r="54" spans="1:17" s="8" customFormat="1" x14ac:dyDescent="0.3">
      <c r="A54" s="8">
        <v>8</v>
      </c>
      <c r="B54" s="17">
        <v>45174</v>
      </c>
      <c r="C54" s="3"/>
      <c r="D54" s="8">
        <v>9.9</v>
      </c>
      <c r="E54" s="18">
        <v>0.62745604740432848</v>
      </c>
      <c r="F54" s="18">
        <v>0.7683068664029804</v>
      </c>
      <c r="H54" s="18">
        <f t="shared" si="0"/>
        <v>0.81667374696508954</v>
      </c>
      <c r="I54" s="18"/>
      <c r="J54" s="18">
        <v>3.5278810408921939</v>
      </c>
      <c r="K54" s="18">
        <v>0.2834562697576396</v>
      </c>
      <c r="L54" s="18"/>
      <c r="N54" s="20">
        <v>2.8799999999999999E-2</v>
      </c>
      <c r="P54" s="18"/>
      <c r="Q54" s="18"/>
    </row>
    <row r="55" spans="1:17" s="8" customFormat="1" x14ac:dyDescent="0.3">
      <c r="A55" s="8">
        <v>8</v>
      </c>
      <c r="B55" s="17">
        <v>45174</v>
      </c>
      <c r="C55" s="3"/>
      <c r="D55" s="8">
        <v>20</v>
      </c>
      <c r="E55" s="18">
        <v>1.233689316734687</v>
      </c>
      <c r="F55" s="18">
        <v>2.4139736141446373</v>
      </c>
      <c r="H55" s="18">
        <f t="shared" si="0"/>
        <v>0.51106164106596086</v>
      </c>
      <c r="I55" s="18"/>
      <c r="J55" s="18">
        <v>2.9018492176386914</v>
      </c>
      <c r="K55" s="18">
        <v>0.3446078431372549</v>
      </c>
      <c r="L55" s="18"/>
      <c r="N55" s="22">
        <v>4.0800000000000003E-2</v>
      </c>
      <c r="P55" s="18"/>
      <c r="Q55" s="18"/>
    </row>
    <row r="56" spans="1:17" s="8" customFormat="1" x14ac:dyDescent="0.3">
      <c r="A56" s="8">
        <v>8</v>
      </c>
      <c r="B56" s="17">
        <v>45174</v>
      </c>
      <c r="C56" s="3"/>
      <c r="D56" s="8">
        <v>29.9</v>
      </c>
      <c r="E56" s="18">
        <v>1.4606807691780179</v>
      </c>
      <c r="F56" s="18">
        <v>2.8822692637465837</v>
      </c>
      <c r="H56" s="18">
        <f t="shared" si="0"/>
        <v>0.50678150981609493</v>
      </c>
      <c r="I56" s="18"/>
      <c r="J56" s="18">
        <v>2.8912783751493429</v>
      </c>
      <c r="K56" s="18">
        <v>0.34586776859504131</v>
      </c>
      <c r="L56" s="18"/>
      <c r="M56" s="8">
        <v>30</v>
      </c>
      <c r="N56" s="20">
        <v>3.9300000000000002E-2</v>
      </c>
      <c r="P56" s="18"/>
      <c r="Q56" s="18"/>
    </row>
    <row r="57" spans="1:17" s="8" customFormat="1" x14ac:dyDescent="0.3">
      <c r="A57" s="8">
        <v>8</v>
      </c>
      <c r="B57" s="17">
        <v>45174</v>
      </c>
      <c r="C57" s="3"/>
      <c r="D57" s="8">
        <v>39.9</v>
      </c>
      <c r="E57" s="18">
        <v>0.73356993777417823</v>
      </c>
      <c r="F57" s="18">
        <v>1.0565349145065717</v>
      </c>
      <c r="H57" s="18">
        <f t="shared" si="0"/>
        <v>0.69431679701448745</v>
      </c>
      <c r="I57" s="18"/>
      <c r="J57" s="18">
        <v>3.3043478260869565</v>
      </c>
      <c r="K57" s="18">
        <v>0.30263157894736842</v>
      </c>
      <c r="L57" s="18"/>
      <c r="N57" s="20">
        <v>3.1699999999999999E-2</v>
      </c>
      <c r="P57" s="18"/>
      <c r="Q57" s="18"/>
    </row>
    <row r="58" spans="1:17" s="8" customFormat="1" x14ac:dyDescent="0.3">
      <c r="A58" s="8">
        <v>8</v>
      </c>
      <c r="B58" s="17">
        <v>45174</v>
      </c>
      <c r="C58" s="3"/>
      <c r="D58" s="8">
        <v>55</v>
      </c>
      <c r="E58" s="18">
        <v>0.24415422079880195</v>
      </c>
      <c r="F58" s="18">
        <v>0.20415029872889884</v>
      </c>
      <c r="H58" s="18">
        <f t="shared" si="0"/>
        <v>1.1959532869605363</v>
      </c>
      <c r="I58" s="18"/>
      <c r="J58" s="18">
        <v>4.0625</v>
      </c>
      <c r="K58" s="18">
        <v>0.24615384615384617</v>
      </c>
      <c r="L58" s="18"/>
      <c r="N58" s="20">
        <v>2.4400000000000002E-2</v>
      </c>
      <c r="P58" s="18"/>
      <c r="Q58" s="18"/>
    </row>
    <row r="59" spans="1:17" s="8" customFormat="1" x14ac:dyDescent="0.3">
      <c r="B59" s="17"/>
      <c r="C59" s="3"/>
      <c r="E59" s="18"/>
      <c r="F59" s="18"/>
      <c r="H59" s="18"/>
      <c r="I59" s="18"/>
      <c r="J59" s="18"/>
      <c r="K59" s="18"/>
      <c r="L59" s="18"/>
      <c r="N59" s="20"/>
      <c r="P59" s="18"/>
      <c r="Q59" s="18"/>
    </row>
    <row r="60" spans="1:17" s="8" customFormat="1" x14ac:dyDescent="0.3">
      <c r="A60" s="8">
        <v>9</v>
      </c>
      <c r="B60" s="17">
        <v>45174</v>
      </c>
      <c r="C60" s="3"/>
      <c r="D60" s="8">
        <v>2.5</v>
      </c>
      <c r="E60" s="18">
        <v>4.973511905160781E-2</v>
      </c>
      <c r="F60" s="18">
        <v>0.41776762642808946</v>
      </c>
      <c r="H60" s="18">
        <f t="shared" si="0"/>
        <v>0.11904972024003574</v>
      </c>
      <c r="I60" s="18"/>
      <c r="J60" s="18">
        <v>1.5982241953385128</v>
      </c>
      <c r="K60" s="18">
        <v>0.62569444444444444</v>
      </c>
      <c r="L60" s="18"/>
      <c r="N60" s="20">
        <v>2.3400000000000001E-2</v>
      </c>
      <c r="P60" s="18"/>
      <c r="Q60" s="18"/>
    </row>
    <row r="61" spans="1:17" s="8" customFormat="1" x14ac:dyDescent="0.3">
      <c r="A61" s="8">
        <v>9</v>
      </c>
      <c r="B61" s="17">
        <v>45174</v>
      </c>
      <c r="C61" s="3"/>
      <c r="D61" s="8">
        <v>10</v>
      </c>
      <c r="E61" s="18">
        <v>7.7509276444064093E-2</v>
      </c>
      <c r="F61" s="18">
        <v>0.75268427823686335</v>
      </c>
      <c r="H61" s="18">
        <f t="shared" si="0"/>
        <v>0.10297714285414181</v>
      </c>
      <c r="I61" s="18"/>
      <c r="J61" s="18">
        <v>1.5249999999999999</v>
      </c>
      <c r="K61" s="18">
        <v>0.65573770491803285</v>
      </c>
      <c r="L61" s="18"/>
      <c r="N61" s="20">
        <v>2.3400000000000001E-2</v>
      </c>
      <c r="P61" s="18"/>
      <c r="Q61" s="18"/>
    </row>
    <row r="62" spans="1:17" s="8" customFormat="1" x14ac:dyDescent="0.3">
      <c r="A62" s="8">
        <v>9</v>
      </c>
      <c r="B62" s="17">
        <v>45174</v>
      </c>
      <c r="C62" s="3"/>
      <c r="D62" s="8">
        <v>20.3</v>
      </c>
      <c r="E62" s="18">
        <v>0.21591869866560723</v>
      </c>
      <c r="F62" s="18">
        <v>1.9892829309556064</v>
      </c>
      <c r="H62" s="18">
        <f t="shared" si="0"/>
        <v>0.10854096986690817</v>
      </c>
      <c r="I62" s="18"/>
      <c r="J62" s="18">
        <v>1.5505882352941178</v>
      </c>
      <c r="K62" s="18">
        <v>0.64491654021244305</v>
      </c>
      <c r="L62" s="18"/>
      <c r="M62" s="8">
        <v>20</v>
      </c>
      <c r="N62" s="22">
        <v>5.11E-2</v>
      </c>
      <c r="P62" s="18"/>
      <c r="Q62" s="18"/>
    </row>
    <row r="63" spans="1:17" s="8" customFormat="1" x14ac:dyDescent="0.3">
      <c r="A63" s="8">
        <v>9</v>
      </c>
      <c r="B63" s="17">
        <v>45174</v>
      </c>
      <c r="C63" s="3"/>
      <c r="D63" s="8">
        <v>30.1</v>
      </c>
      <c r="E63" s="18">
        <v>0.13287304533268132</v>
      </c>
      <c r="F63" s="18">
        <v>1.3459092239427204</v>
      </c>
      <c r="H63" s="18">
        <f t="shared" si="0"/>
        <v>9.8723630813259203E-2</v>
      </c>
      <c r="I63" s="18"/>
      <c r="J63" s="18">
        <v>1.5052631578947369</v>
      </c>
      <c r="K63" s="18">
        <v>0.66433566433566438</v>
      </c>
      <c r="L63" s="18"/>
      <c r="N63" s="20">
        <v>3.6299999999999999E-2</v>
      </c>
      <c r="P63" s="18"/>
      <c r="Q63" s="18"/>
    </row>
    <row r="64" spans="1:17" s="8" customFormat="1" x14ac:dyDescent="0.3">
      <c r="A64" s="8">
        <v>9</v>
      </c>
      <c r="B64" s="17">
        <v>45174</v>
      </c>
      <c r="C64" s="3"/>
      <c r="D64" s="8">
        <v>40.1</v>
      </c>
      <c r="E64" s="18">
        <v>8.5813841777356695E-2</v>
      </c>
      <c r="F64" s="18">
        <v>0.90004100440624457</v>
      </c>
      <c r="H64" s="18">
        <f t="shared" si="0"/>
        <v>9.534436915345644E-2</v>
      </c>
      <c r="I64" s="18"/>
      <c r="J64" s="18">
        <v>1.4894736842105263</v>
      </c>
      <c r="K64" s="18">
        <v>0.67137809187279152</v>
      </c>
      <c r="L64" s="18"/>
      <c r="N64" s="20">
        <v>3.4500000000000003E-2</v>
      </c>
      <c r="P64" s="18"/>
      <c r="Q64" s="18"/>
    </row>
    <row r="65" spans="1:17" s="8" customFormat="1" x14ac:dyDescent="0.3">
      <c r="A65" s="8">
        <v>9</v>
      </c>
      <c r="B65" s="17">
        <v>45174</v>
      </c>
      <c r="C65" s="3"/>
      <c r="D65" s="8">
        <v>54.9</v>
      </c>
      <c r="E65" s="18">
        <v>1.430230696289278E-2</v>
      </c>
      <c r="F65" s="18">
        <v>0.14550995231318575</v>
      </c>
      <c r="H65" s="18">
        <f t="shared" si="0"/>
        <v>9.8290919181318021E-2</v>
      </c>
      <c r="I65" s="18"/>
      <c r="J65" s="18">
        <v>1.5032467532467533</v>
      </c>
      <c r="K65" s="18">
        <v>0.66522678185745143</v>
      </c>
      <c r="L65" s="18"/>
      <c r="N65" s="20">
        <v>2.3199999999999998E-2</v>
      </c>
      <c r="P65" s="18"/>
      <c r="Q65" s="18"/>
    </row>
    <row r="66" spans="1:17" s="8" customFormat="1" x14ac:dyDescent="0.3">
      <c r="B66" s="17"/>
      <c r="C66" s="3"/>
      <c r="E66" s="18"/>
      <c r="F66" s="18"/>
      <c r="H66" s="18"/>
      <c r="I66" s="18"/>
      <c r="J66" s="18"/>
      <c r="K66" s="18"/>
      <c r="L66" s="18"/>
      <c r="N66" s="20"/>
      <c r="P66" s="18"/>
      <c r="Q66" s="18"/>
    </row>
    <row r="67" spans="1:17" s="8" customFormat="1" x14ac:dyDescent="0.3">
      <c r="A67" s="8">
        <v>10</v>
      </c>
      <c r="B67" s="17">
        <v>45174</v>
      </c>
      <c r="C67" s="3"/>
      <c r="D67" s="8">
        <v>2.5</v>
      </c>
      <c r="E67" s="18">
        <v>0.8756702779216291</v>
      </c>
      <c r="F67" s="18">
        <v>1.1531152213298872</v>
      </c>
      <c r="H67" s="18">
        <f t="shared" si="0"/>
        <v>0.75939529868638711</v>
      </c>
      <c r="I67" s="18"/>
      <c r="J67" s="18">
        <v>3.4271099744245523</v>
      </c>
      <c r="K67" s="18">
        <v>0.29179104477611939</v>
      </c>
      <c r="L67" s="18"/>
      <c r="N67" s="20">
        <v>2.6700000000000002E-2</v>
      </c>
      <c r="P67" s="18"/>
      <c r="Q67" s="18"/>
    </row>
    <row r="68" spans="1:17" s="8" customFormat="1" x14ac:dyDescent="0.3">
      <c r="A68" s="8">
        <v>10</v>
      </c>
      <c r="B68" s="17">
        <v>45174</v>
      </c>
      <c r="C68" s="3"/>
      <c r="D68" s="8">
        <v>19.899999999999999</v>
      </c>
      <c r="E68" s="18">
        <v>1.6885949511028253</v>
      </c>
      <c r="F68" s="18">
        <v>2.9812437939773915</v>
      </c>
      <c r="H68" s="18">
        <f t="shared" si="0"/>
        <v>0.56640619412409954</v>
      </c>
      <c r="I68" s="18"/>
      <c r="J68" s="18">
        <v>3.0333333333333332</v>
      </c>
      <c r="K68" s="18">
        <v>0.32967032967032966</v>
      </c>
      <c r="L68" s="18"/>
      <c r="M68" s="8">
        <v>20</v>
      </c>
      <c r="N68" s="22">
        <v>4.4600000000000001E-2</v>
      </c>
      <c r="P68" s="18"/>
      <c r="Q68" s="18"/>
    </row>
    <row r="69" spans="1:17" s="8" customFormat="1" x14ac:dyDescent="0.3">
      <c r="A69" s="8">
        <v>10</v>
      </c>
      <c r="B69" s="17">
        <v>45174</v>
      </c>
      <c r="C69" s="3"/>
      <c r="D69" s="8">
        <v>29.9</v>
      </c>
      <c r="E69" s="18">
        <v>1.2595257422160417</v>
      </c>
      <c r="F69" s="18">
        <v>2.9692726769399318</v>
      </c>
      <c r="H69" s="18">
        <f t="shared" si="0"/>
        <v>0.42418662051411249</v>
      </c>
      <c r="I69" s="18"/>
      <c r="J69" s="18">
        <v>2.6748466257668713</v>
      </c>
      <c r="K69" s="18">
        <v>0.37385321100917429</v>
      </c>
      <c r="L69" s="18"/>
      <c r="N69" s="20">
        <v>4.2700000000000002E-2</v>
      </c>
      <c r="P69" s="18"/>
      <c r="Q69" s="18"/>
    </row>
    <row r="70" spans="1:17" s="8" customFormat="1" x14ac:dyDescent="0.3">
      <c r="A70" s="8">
        <v>10</v>
      </c>
      <c r="B70" s="17">
        <v>45174</v>
      </c>
      <c r="C70" s="3"/>
      <c r="D70" s="8">
        <v>40.1</v>
      </c>
      <c r="E70" s="18">
        <v>1.0980480829575749</v>
      </c>
      <c r="F70" s="18">
        <v>2.2746132329336928</v>
      </c>
      <c r="H70" s="18">
        <f t="shared" si="0"/>
        <v>0.48274056752117039</v>
      </c>
      <c r="I70" s="18"/>
      <c r="J70" s="18">
        <v>2.8307692307692309</v>
      </c>
      <c r="K70" s="18">
        <v>0.35326086956521741</v>
      </c>
      <c r="L70" s="18"/>
      <c r="N70" s="20">
        <v>3.7100000000000001E-2</v>
      </c>
      <c r="P70" s="18"/>
      <c r="Q70" s="18"/>
    </row>
    <row r="71" spans="1:17" s="8" customFormat="1" x14ac:dyDescent="0.3">
      <c r="A71" s="8">
        <v>10</v>
      </c>
      <c r="B71" s="17">
        <v>45174</v>
      </c>
      <c r="C71" s="3"/>
      <c r="D71" s="8">
        <v>54.9</v>
      </c>
      <c r="E71" s="18">
        <v>0.12622939306604727</v>
      </c>
      <c r="F71" s="18">
        <v>0.24320673876696541</v>
      </c>
      <c r="H71" s="18">
        <f t="shared" si="0"/>
        <v>0.51902095191119313</v>
      </c>
      <c r="I71" s="18"/>
      <c r="J71" s="18">
        <v>2.9213483146067416</v>
      </c>
      <c r="K71" s="18">
        <v>0.34230769230769231</v>
      </c>
      <c r="L71" s="18"/>
      <c r="N71" s="20">
        <v>2.2700000000000001E-2</v>
      </c>
      <c r="P71" s="18"/>
      <c r="Q71" s="18"/>
    </row>
    <row r="72" spans="1:17" s="8" customFormat="1" x14ac:dyDescent="0.3">
      <c r="B72" s="17"/>
      <c r="C72" s="3"/>
      <c r="E72" s="18"/>
      <c r="F72" s="18"/>
      <c r="H72" s="18"/>
      <c r="I72" s="18"/>
      <c r="J72" s="18"/>
      <c r="K72" s="18"/>
      <c r="L72" s="18"/>
      <c r="N72" s="20"/>
      <c r="P72" s="18"/>
      <c r="Q72" s="18"/>
    </row>
    <row r="73" spans="1:17" s="8" customFormat="1" x14ac:dyDescent="0.3">
      <c r="A73" s="8">
        <v>11</v>
      </c>
      <c r="B73" s="17">
        <v>45175</v>
      </c>
      <c r="C73" s="3"/>
      <c r="D73" s="8">
        <v>2.7</v>
      </c>
      <c r="E73" s="18">
        <v>0.72987901984827031</v>
      </c>
      <c r="F73" s="18">
        <v>0.51022260245636497</v>
      </c>
      <c r="H73" s="18">
        <f t="shared" si="0"/>
        <v>1.430510950190002</v>
      </c>
      <c r="I73" s="18"/>
      <c r="J73" s="18">
        <v>4.3096234309623433</v>
      </c>
      <c r="K73" s="18">
        <v>0.2320388349514563</v>
      </c>
      <c r="L73" s="18"/>
      <c r="N73" s="20">
        <v>2.7E-2</v>
      </c>
      <c r="P73" s="18"/>
      <c r="Q73" s="18"/>
    </row>
    <row r="74" spans="1:17" s="8" customFormat="1" x14ac:dyDescent="0.3">
      <c r="A74" s="8">
        <v>11</v>
      </c>
      <c r="B74" s="17">
        <v>45175</v>
      </c>
      <c r="C74" s="3"/>
      <c r="D74" s="8">
        <v>10.199999999999999</v>
      </c>
      <c r="E74" s="18">
        <v>1.5972447324366068</v>
      </c>
      <c r="F74" s="18">
        <v>2.4447601369161593</v>
      </c>
      <c r="H74" s="18">
        <f t="shared" si="0"/>
        <v>0.65333392356903552</v>
      </c>
      <c r="I74" s="18"/>
      <c r="J74" s="18">
        <v>3.2220795892169445</v>
      </c>
      <c r="K74" s="18">
        <v>0.31035856573705184</v>
      </c>
      <c r="L74" s="18"/>
      <c r="N74" s="20">
        <v>2.6800000000000001E-2</v>
      </c>
      <c r="P74" s="18"/>
      <c r="Q74" s="18"/>
    </row>
    <row r="75" spans="1:17" s="8" customFormat="1" x14ac:dyDescent="0.3">
      <c r="A75" s="8">
        <v>11</v>
      </c>
      <c r="B75" s="17">
        <v>45175</v>
      </c>
      <c r="C75" s="3"/>
      <c r="D75" s="8">
        <v>20.100000000000001</v>
      </c>
      <c r="E75" s="18">
        <v>1.734731425176673</v>
      </c>
      <c r="F75" s="18">
        <v>3.5058653887466811</v>
      </c>
      <c r="H75" s="18">
        <f t="shared" si="0"/>
        <v>0.49480833769171773</v>
      </c>
      <c r="I75" s="18"/>
      <c r="J75" s="18">
        <v>2.8613861386138613</v>
      </c>
      <c r="K75" s="18">
        <v>0.34948096885813151</v>
      </c>
      <c r="L75" s="18"/>
      <c r="M75" s="8">
        <v>20</v>
      </c>
      <c r="N75" s="22">
        <v>4.5400000000000003E-2</v>
      </c>
      <c r="P75" s="18"/>
      <c r="Q75" s="18"/>
    </row>
    <row r="76" spans="1:17" s="8" customFormat="1" x14ac:dyDescent="0.3">
      <c r="A76" s="8">
        <v>11</v>
      </c>
      <c r="B76" s="17">
        <v>45175</v>
      </c>
      <c r="C76" s="3"/>
      <c r="D76" s="8">
        <v>30.2</v>
      </c>
      <c r="E76" s="18">
        <v>1.6424584770289776</v>
      </c>
      <c r="F76" s="18">
        <v>4.5321060859104199</v>
      </c>
      <c r="H76" s="18">
        <f t="shared" si="0"/>
        <v>0.36240512598218161</v>
      </c>
      <c r="I76" s="18"/>
      <c r="J76" s="18">
        <v>2.4957983193277311</v>
      </c>
      <c r="K76" s="18">
        <v>0.40067340067340068</v>
      </c>
      <c r="L76" s="18"/>
      <c r="N76" s="20">
        <v>4.4200000000000003E-2</v>
      </c>
      <c r="P76" s="18"/>
      <c r="Q76" s="18"/>
    </row>
    <row r="77" spans="1:17" s="8" customFormat="1" x14ac:dyDescent="0.3">
      <c r="A77" s="8">
        <v>11</v>
      </c>
      <c r="B77" s="17">
        <v>45175</v>
      </c>
      <c r="C77" s="3"/>
      <c r="D77" s="8">
        <v>40.5</v>
      </c>
      <c r="E77" s="18">
        <v>1.0039296758469256</v>
      </c>
      <c r="F77" s="18">
        <v>2.0158993793049476</v>
      </c>
      <c r="H77" s="18">
        <f t="shared" si="0"/>
        <v>0.49800584600262426</v>
      </c>
      <c r="I77" s="18"/>
      <c r="J77" s="18">
        <v>2.8694158075601375</v>
      </c>
      <c r="K77" s="18">
        <v>0.34850299401197604</v>
      </c>
      <c r="L77" s="18"/>
      <c r="N77" s="20">
        <v>3.3700000000000001E-2</v>
      </c>
      <c r="P77" s="18"/>
      <c r="Q77" s="18"/>
    </row>
    <row r="78" spans="1:17" s="8" customFormat="1" x14ac:dyDescent="0.3">
      <c r="A78" s="8">
        <v>11</v>
      </c>
      <c r="B78" s="17">
        <v>45175</v>
      </c>
      <c r="C78" s="3"/>
      <c r="D78" s="8">
        <v>55.6</v>
      </c>
      <c r="E78" s="18">
        <v>0.19377319111016031</v>
      </c>
      <c r="F78" s="18">
        <v>0.38736229716648884</v>
      </c>
      <c r="H78" s="18">
        <f t="shared" si="0"/>
        <v>0.50023761354057728</v>
      </c>
      <c r="I78" s="18"/>
      <c r="J78" s="18">
        <v>2.8750000000000004</v>
      </c>
      <c r="K78" s="18">
        <v>0.34782608695652167</v>
      </c>
      <c r="L78" s="18"/>
      <c r="N78" s="20">
        <v>2.3199999999999998E-2</v>
      </c>
      <c r="P78" s="18"/>
      <c r="Q78" s="18"/>
    </row>
    <row r="79" spans="1:17" s="8" customFormat="1" x14ac:dyDescent="0.3">
      <c r="B79" s="17"/>
      <c r="C79" s="3"/>
      <c r="E79" s="18"/>
      <c r="F79" s="18"/>
      <c r="H79" s="18"/>
      <c r="I79" s="18"/>
      <c r="J79" s="18"/>
      <c r="K79" s="18"/>
      <c r="L79" s="18"/>
      <c r="N79" s="20"/>
      <c r="P79" s="18"/>
      <c r="Q79" s="18"/>
    </row>
    <row r="80" spans="1:17" s="8" customFormat="1" x14ac:dyDescent="0.3">
      <c r="A80" s="8">
        <v>12</v>
      </c>
      <c r="B80" s="19">
        <v>45176</v>
      </c>
      <c r="C80" s="3"/>
      <c r="D80" s="8">
        <v>4.2</v>
      </c>
      <c r="E80" s="18">
        <v>0.60346508088592776</v>
      </c>
      <c r="F80" s="18">
        <v>0.26823815152904606</v>
      </c>
      <c r="H80" s="18">
        <f t="shared" si="0"/>
        <v>2.2497362043616</v>
      </c>
      <c r="I80" s="18"/>
      <c r="J80" s="18">
        <v>4.8928571428571432</v>
      </c>
      <c r="K80" s="18">
        <v>0.20437956204379562</v>
      </c>
      <c r="L80" s="18"/>
      <c r="N80" s="20">
        <v>2.46E-2</v>
      </c>
      <c r="P80" s="18"/>
      <c r="Q80" s="18"/>
    </row>
    <row r="81" spans="1:17" s="8" customFormat="1" x14ac:dyDescent="0.3">
      <c r="A81" s="8">
        <v>12</v>
      </c>
      <c r="B81" s="19">
        <v>45176</v>
      </c>
      <c r="C81" s="3"/>
      <c r="D81" s="8">
        <v>10</v>
      </c>
      <c r="E81" s="18">
        <v>0.62653331792285161</v>
      </c>
      <c r="F81" s="18">
        <v>0.25554733392563378</v>
      </c>
      <c r="H81" s="18">
        <f t="shared" ref="H81:H154" si="2">E81/F81</f>
        <v>2.4517309897084569</v>
      </c>
      <c r="I81" s="18"/>
      <c r="J81" s="18">
        <v>4.9941176470588236</v>
      </c>
      <c r="K81" s="18">
        <v>0.20023557126030622</v>
      </c>
      <c r="L81" s="18"/>
      <c r="N81" s="20">
        <v>2.47E-2</v>
      </c>
      <c r="P81" s="18"/>
      <c r="Q81" s="18"/>
    </row>
    <row r="82" spans="1:17" s="8" customFormat="1" x14ac:dyDescent="0.3">
      <c r="A82" s="8">
        <v>12</v>
      </c>
      <c r="B82" s="19">
        <v>45176</v>
      </c>
      <c r="C82" s="3"/>
      <c r="D82" s="8">
        <v>20.5</v>
      </c>
      <c r="E82" s="18">
        <v>1.8777544948056009</v>
      </c>
      <c r="F82" s="18">
        <v>1.2614148838316561</v>
      </c>
      <c r="H82" s="18">
        <f t="shared" si="2"/>
        <v>1.4886097499513882</v>
      </c>
      <c r="I82" s="18"/>
      <c r="J82" s="18">
        <v>4.3636363636363633</v>
      </c>
      <c r="K82" s="18">
        <v>0.22916666666666666</v>
      </c>
      <c r="L82" s="18"/>
      <c r="N82" s="20">
        <v>3.7900000000000003E-2</v>
      </c>
      <c r="P82" s="18"/>
      <c r="Q82" s="18"/>
    </row>
    <row r="83" spans="1:17" s="8" customFormat="1" x14ac:dyDescent="0.3">
      <c r="A83" s="8">
        <v>12</v>
      </c>
      <c r="B83" s="19">
        <v>45176</v>
      </c>
      <c r="C83" s="3"/>
      <c r="D83" s="8">
        <v>30.3</v>
      </c>
      <c r="E83" s="18">
        <v>6.1822875258955898</v>
      </c>
      <c r="F83" s="18">
        <v>4.5064544906213504</v>
      </c>
      <c r="H83" s="18">
        <f t="shared" si="2"/>
        <v>1.3718739507437421</v>
      </c>
      <c r="I83" s="18"/>
      <c r="J83" s="18">
        <v>4.2524271844660193</v>
      </c>
      <c r="K83" s="18">
        <v>0.23515981735159816</v>
      </c>
      <c r="L83" s="18"/>
      <c r="M83" s="8">
        <v>30</v>
      </c>
      <c r="N83" s="22">
        <v>9.0999999999999998E-2</v>
      </c>
      <c r="P83" s="18"/>
      <c r="Q83" s="18"/>
    </row>
    <row r="84" spans="1:17" s="8" customFormat="1" x14ac:dyDescent="0.3">
      <c r="A84" s="8">
        <v>12</v>
      </c>
      <c r="B84" s="19">
        <v>45176</v>
      </c>
      <c r="C84" s="3"/>
      <c r="D84" s="8">
        <v>40.299999999999997</v>
      </c>
      <c r="E84" s="18">
        <v>3.9954186547952095</v>
      </c>
      <c r="F84" s="18">
        <v>3.4763233373331373</v>
      </c>
      <c r="H84" s="18">
        <f t="shared" si="2"/>
        <v>1.1493230827775349</v>
      </c>
      <c r="I84" s="18"/>
      <c r="J84" s="18">
        <v>4.0069444444444446</v>
      </c>
      <c r="K84" s="18">
        <v>0.24956672443674177</v>
      </c>
      <c r="L84" s="18"/>
      <c r="N84" s="20">
        <v>3.8100000000000002E-2</v>
      </c>
      <c r="P84" s="18"/>
      <c r="Q84" s="18"/>
    </row>
    <row r="85" spans="1:17" s="8" customFormat="1" x14ac:dyDescent="0.3">
      <c r="A85" s="8">
        <v>12</v>
      </c>
      <c r="B85" s="19">
        <v>45176</v>
      </c>
      <c r="C85" s="3"/>
      <c r="D85" s="8">
        <v>55.6</v>
      </c>
      <c r="E85" s="18">
        <v>0.68558800473737658</v>
      </c>
      <c r="F85" s="18">
        <v>-2.1433160992634551E-2</v>
      </c>
      <c r="H85" s="18">
        <f t="shared" si="2"/>
        <v>-31.987255868277064</v>
      </c>
      <c r="I85" s="18"/>
      <c r="J85" s="18">
        <v>6.8046874999999991</v>
      </c>
      <c r="K85" s="18">
        <v>0.14695752009184848</v>
      </c>
      <c r="L85" s="18"/>
      <c r="N85" s="20">
        <v>2.46E-2</v>
      </c>
      <c r="P85" s="18"/>
      <c r="Q85" s="18"/>
    </row>
    <row r="86" spans="1:17" s="8" customFormat="1" x14ac:dyDescent="0.3">
      <c r="B86" s="19"/>
      <c r="C86" s="3"/>
      <c r="E86" s="18"/>
      <c r="F86" s="18"/>
      <c r="H86" s="18"/>
      <c r="I86" s="18"/>
      <c r="J86" s="18"/>
      <c r="K86" s="18"/>
      <c r="L86" s="18"/>
      <c r="N86" s="20"/>
      <c r="P86" s="18"/>
      <c r="Q86" s="18"/>
    </row>
    <row r="87" spans="1:17" s="8" customFormat="1" x14ac:dyDescent="0.3">
      <c r="A87" s="8">
        <v>13</v>
      </c>
      <c r="B87" s="19">
        <v>45176</v>
      </c>
      <c r="C87" s="3"/>
      <c r="D87" s="8">
        <v>2.8</v>
      </c>
      <c r="E87" s="18">
        <v>9.3195677629172316E-2</v>
      </c>
      <c r="F87" s="18">
        <v>0.56058174668205796</v>
      </c>
      <c r="H87" s="18">
        <f t="shared" si="2"/>
        <v>0.16624814878610308</v>
      </c>
      <c r="I87" s="18"/>
      <c r="J87" s="18">
        <v>1.8015873015873016</v>
      </c>
      <c r="K87" s="18">
        <v>0.55506607929515417</v>
      </c>
      <c r="L87" s="18"/>
      <c r="N87" s="23">
        <v>2.3199999999999998E-2</v>
      </c>
      <c r="P87" s="18"/>
      <c r="Q87" s="18"/>
    </row>
    <row r="88" spans="1:17" s="8" customFormat="1" x14ac:dyDescent="0.3">
      <c r="A88" s="8">
        <v>13</v>
      </c>
      <c r="B88" s="19">
        <v>45176</v>
      </c>
      <c r="C88" s="3"/>
      <c r="D88" s="8">
        <v>10</v>
      </c>
      <c r="E88" s="18">
        <v>0.13933215170301999</v>
      </c>
      <c r="F88" s="18">
        <v>1.0385049540005455</v>
      </c>
      <c r="H88" s="18">
        <f t="shared" si="2"/>
        <v>0.13416609248350952</v>
      </c>
      <c r="I88" s="18"/>
      <c r="J88" s="18">
        <v>1.6651982378854624</v>
      </c>
      <c r="K88" s="18">
        <v>0.60052910052910058</v>
      </c>
      <c r="L88" s="18"/>
      <c r="N88" s="23">
        <v>2.7099999999999999E-2</v>
      </c>
      <c r="P88" s="18"/>
      <c r="Q88" s="18"/>
    </row>
    <row r="89" spans="1:17" s="8" customFormat="1" x14ac:dyDescent="0.3">
      <c r="A89" s="8">
        <v>13</v>
      </c>
      <c r="B89" s="19">
        <v>45176</v>
      </c>
      <c r="C89" s="3"/>
      <c r="D89" s="8">
        <v>20.100000000000001</v>
      </c>
      <c r="E89" s="18">
        <v>0.21591869866560709</v>
      </c>
      <c r="F89" s="18">
        <v>1.9996603503891182</v>
      </c>
      <c r="H89" s="18">
        <f t="shared" si="2"/>
        <v>0.10797768662242616</v>
      </c>
      <c r="I89" s="18"/>
      <c r="J89" s="18">
        <v>1.5480093676814985</v>
      </c>
      <c r="K89" s="18">
        <v>0.64599092284417559</v>
      </c>
      <c r="L89" s="18"/>
      <c r="M89" s="8">
        <v>20</v>
      </c>
      <c r="N89" s="22">
        <v>5.0299999999999997E-2</v>
      </c>
      <c r="P89" s="18"/>
      <c r="Q89" s="18"/>
    </row>
    <row r="90" spans="1:17" s="8" customFormat="1" x14ac:dyDescent="0.3">
      <c r="A90" s="8">
        <v>13</v>
      </c>
      <c r="B90" s="19">
        <v>45176</v>
      </c>
      <c r="C90" s="3"/>
      <c r="D90" s="8">
        <v>30</v>
      </c>
      <c r="E90" s="18">
        <v>0.16793676562880552</v>
      </c>
      <c r="F90" s="18">
        <v>1.9698116376745824</v>
      </c>
      <c r="H90" s="18">
        <f t="shared" si="2"/>
        <v>8.5255240865090814E-2</v>
      </c>
      <c r="I90" s="18"/>
      <c r="J90" s="18">
        <v>1.4417475728155338</v>
      </c>
      <c r="K90" s="18">
        <v>0.69360269360269367</v>
      </c>
      <c r="L90" s="18"/>
      <c r="N90" s="23">
        <v>4.4200000000000003E-2</v>
      </c>
      <c r="P90" s="18"/>
      <c r="Q90" s="18"/>
    </row>
    <row r="91" spans="1:17" s="8" customFormat="1" x14ac:dyDescent="0.3">
      <c r="A91" s="8">
        <v>13</v>
      </c>
      <c r="B91" s="19">
        <v>45176</v>
      </c>
      <c r="C91" s="3"/>
      <c r="D91" s="8">
        <v>40</v>
      </c>
      <c r="E91" s="18">
        <v>0.10057751348098794</v>
      </c>
      <c r="F91" s="18">
        <v>0.95273055902043879</v>
      </c>
      <c r="H91" s="18">
        <f t="shared" si="2"/>
        <v>0.10556763665101485</v>
      </c>
      <c r="I91" s="18"/>
      <c r="J91" s="18">
        <v>1.5369458128078817</v>
      </c>
      <c r="K91" s="18">
        <v>0.65064102564102566</v>
      </c>
      <c r="L91" s="18"/>
      <c r="N91" s="23">
        <v>3.1899999999999998E-2</v>
      </c>
      <c r="P91" s="18"/>
      <c r="Q91" s="18"/>
    </row>
    <row r="92" spans="1:17" s="8" customFormat="1" x14ac:dyDescent="0.3">
      <c r="A92" s="8">
        <v>13</v>
      </c>
      <c r="B92" s="19">
        <v>45176</v>
      </c>
      <c r="C92" s="3"/>
      <c r="D92" s="8">
        <v>54.9</v>
      </c>
      <c r="E92" s="18">
        <v>4.9273754310869326E-2</v>
      </c>
      <c r="F92" s="18">
        <v>0.41044592659369417</v>
      </c>
      <c r="H92" s="18">
        <f t="shared" si="2"/>
        <v>0.12004931982099086</v>
      </c>
      <c r="I92" s="18"/>
      <c r="J92" s="18">
        <v>1.6027088036117381</v>
      </c>
      <c r="K92" s="18">
        <v>0.62394366197183093</v>
      </c>
      <c r="L92" s="18"/>
      <c r="N92" s="23">
        <v>2.4500000000000001E-2</v>
      </c>
      <c r="P92" s="18"/>
      <c r="Q92" s="18"/>
    </row>
    <row r="93" spans="1:17" s="8" customFormat="1" x14ac:dyDescent="0.3">
      <c r="B93" s="19"/>
      <c r="C93" s="3"/>
      <c r="E93" s="18"/>
      <c r="F93" s="18"/>
      <c r="H93" s="18"/>
      <c r="I93" s="18"/>
      <c r="J93" s="18"/>
      <c r="K93" s="18"/>
      <c r="L93" s="18"/>
      <c r="N93" s="20"/>
      <c r="P93" s="18"/>
      <c r="Q93" s="18"/>
    </row>
    <row r="94" spans="1:17" s="8" customFormat="1" x14ac:dyDescent="0.3">
      <c r="A94" s="8">
        <v>14</v>
      </c>
      <c r="B94" s="19">
        <v>45177</v>
      </c>
      <c r="C94" s="3"/>
      <c r="D94" s="8">
        <v>2.8</v>
      </c>
      <c r="E94" s="18">
        <v>0.30726891733182554</v>
      </c>
      <c r="F94" s="18">
        <v>1.742271420786714</v>
      </c>
      <c r="H94" s="18">
        <f t="shared" ref="H94:H99" si="3">E94/F94</f>
        <v>0.17636110749786607</v>
      </c>
      <c r="I94" s="18"/>
      <c r="J94" s="18">
        <v>1.8430379746835441</v>
      </c>
      <c r="K94" s="18">
        <v>0.54258241758241765</v>
      </c>
      <c r="L94" s="18"/>
      <c r="N94" s="23">
        <v>3.2099999999999997E-2</v>
      </c>
      <c r="P94" s="18"/>
      <c r="Q94" s="18"/>
    </row>
    <row r="95" spans="1:17" s="8" customFormat="1" x14ac:dyDescent="0.3">
      <c r="A95" s="8">
        <v>14</v>
      </c>
      <c r="B95" s="19">
        <v>45177</v>
      </c>
      <c r="C95" s="3"/>
      <c r="D95" s="8">
        <v>10</v>
      </c>
      <c r="E95" s="18">
        <v>0.27958703288751702</v>
      </c>
      <c r="F95" s="18">
        <v>1.6869339497629297</v>
      </c>
      <c r="H95" s="18">
        <f t="shared" si="3"/>
        <v>0.16573679895813839</v>
      </c>
      <c r="I95" s="18"/>
      <c r="J95" s="18">
        <v>1.7994722955145119</v>
      </c>
      <c r="K95" s="18">
        <v>0.55571847507331373</v>
      </c>
      <c r="L95" s="18"/>
      <c r="N95" s="23">
        <v>4.2500000000000003E-2</v>
      </c>
      <c r="P95" s="18"/>
      <c r="Q95" s="18"/>
    </row>
    <row r="96" spans="1:17" s="8" customFormat="1" x14ac:dyDescent="0.3">
      <c r="A96" s="8">
        <v>14</v>
      </c>
      <c r="B96" s="19">
        <v>45177</v>
      </c>
      <c r="C96" s="3"/>
      <c r="D96" s="8">
        <v>15.5</v>
      </c>
      <c r="E96" s="18">
        <v>6.2745604740432864E-2</v>
      </c>
      <c r="F96" s="18">
        <v>0.70518343333942501</v>
      </c>
      <c r="H96" s="18">
        <f t="shared" si="3"/>
        <v>8.8977706755387728E-2</v>
      </c>
      <c r="I96" s="18"/>
      <c r="J96" s="18">
        <v>1.4594594594594594</v>
      </c>
      <c r="K96" s="18">
        <v>0.68518518518518512</v>
      </c>
      <c r="L96" s="18"/>
      <c r="N96" s="22">
        <v>0.10290000000000001</v>
      </c>
      <c r="P96" s="18"/>
      <c r="Q96" s="18"/>
    </row>
    <row r="97" spans="1:17" s="8" customFormat="1" x14ac:dyDescent="0.3">
      <c r="A97" s="8">
        <v>14</v>
      </c>
      <c r="B97" s="19">
        <v>45177</v>
      </c>
      <c r="C97" s="3"/>
      <c r="D97" s="8">
        <v>20</v>
      </c>
      <c r="E97" s="18">
        <v>0.5268785339233405</v>
      </c>
      <c r="F97" s="18">
        <v>3.3594650439267508</v>
      </c>
      <c r="H97" s="18">
        <f t="shared" si="3"/>
        <v>0.15683405751633964</v>
      </c>
      <c r="I97" s="18"/>
      <c r="J97" s="18">
        <v>1.7623497997329771</v>
      </c>
      <c r="K97" s="18">
        <v>0.5674242424242425</v>
      </c>
      <c r="L97" s="18"/>
      <c r="M97" s="8">
        <v>20</v>
      </c>
      <c r="N97" s="23">
        <v>4.48E-2</v>
      </c>
      <c r="P97" s="18"/>
      <c r="Q97" s="18"/>
    </row>
    <row r="98" spans="1:17" s="8" customFormat="1" x14ac:dyDescent="0.3">
      <c r="A98" s="8">
        <v>14</v>
      </c>
      <c r="B98" s="19">
        <v>45177</v>
      </c>
      <c r="C98" s="3"/>
      <c r="D98" s="8">
        <v>29.9</v>
      </c>
      <c r="E98" s="18">
        <v>0.47428295347915428</v>
      </c>
      <c r="F98" s="18">
        <v>3.7078170782260167</v>
      </c>
      <c r="H98" s="18">
        <f t="shared" si="3"/>
        <v>0.1279143343570962</v>
      </c>
      <c r="I98" s="18"/>
      <c r="J98" s="18">
        <v>1.6377171215880895</v>
      </c>
      <c r="K98" s="18">
        <v>0.6106060606060606</v>
      </c>
      <c r="L98" s="18"/>
      <c r="N98" s="23">
        <v>3.5999999999999997E-2</v>
      </c>
      <c r="P98" s="18"/>
      <c r="Q98" s="18"/>
    </row>
    <row r="99" spans="1:17" s="8" customFormat="1" x14ac:dyDescent="0.3">
      <c r="A99" s="8">
        <v>14</v>
      </c>
      <c r="B99" s="19">
        <v>45177</v>
      </c>
      <c r="C99" s="3"/>
      <c r="D99" s="8">
        <v>39.9</v>
      </c>
      <c r="E99" s="18">
        <v>0.14394579911040478</v>
      </c>
      <c r="F99" s="18">
        <v>1.2621945341304164</v>
      </c>
      <c r="H99" s="18">
        <f t="shared" si="3"/>
        <v>0.11404406786595352</v>
      </c>
      <c r="I99" s="18"/>
      <c r="J99" s="18">
        <v>1.5756457564575646</v>
      </c>
      <c r="K99" s="18">
        <v>0.63466042154566749</v>
      </c>
      <c r="L99" s="18"/>
      <c r="N99" s="23">
        <v>2.5600000000000001E-2</v>
      </c>
      <c r="P99" s="18"/>
      <c r="Q99" s="18"/>
    </row>
    <row r="100" spans="1:17" s="8" customFormat="1" x14ac:dyDescent="0.3">
      <c r="B100" s="19"/>
      <c r="C100" s="3"/>
      <c r="E100" s="18"/>
      <c r="F100" s="18"/>
      <c r="H100" s="18"/>
      <c r="I100" s="18"/>
      <c r="J100" s="18"/>
      <c r="K100" s="18"/>
      <c r="L100" s="18"/>
      <c r="N100" s="23"/>
      <c r="P100" s="18"/>
      <c r="Q100" s="18"/>
    </row>
    <row r="101" spans="1:17" s="8" customFormat="1" x14ac:dyDescent="0.3">
      <c r="A101" s="8">
        <v>15</v>
      </c>
      <c r="B101" s="19">
        <v>45177</v>
      </c>
      <c r="C101" s="3"/>
      <c r="D101" s="8">
        <v>2</v>
      </c>
      <c r="E101" s="18">
        <v>0.1753186014806212</v>
      </c>
      <c r="F101" s="18">
        <v>0.99214108478943297</v>
      </c>
      <c r="H101" s="18">
        <f t="shared" si="2"/>
        <v>0.17670732939945727</v>
      </c>
      <c r="I101" s="18"/>
      <c r="J101" s="18">
        <v>1.8444444444444446</v>
      </c>
      <c r="K101" s="18">
        <v>0.54216867469879515</v>
      </c>
      <c r="L101" s="18"/>
      <c r="N101" s="20"/>
      <c r="P101" s="18"/>
      <c r="Q101" s="18"/>
    </row>
    <row r="102" spans="1:17" s="8" customFormat="1" x14ac:dyDescent="0.3">
      <c r="A102" s="8">
        <v>15</v>
      </c>
      <c r="B102" s="19">
        <v>45177</v>
      </c>
      <c r="C102" s="3"/>
      <c r="D102" s="8">
        <v>9.5</v>
      </c>
      <c r="E102" s="18">
        <v>0.33218261333170335</v>
      </c>
      <c r="F102" s="18">
        <v>2.0961335341100091</v>
      </c>
      <c r="H102" s="18">
        <f t="shared" si="2"/>
        <v>0.15847397502408822</v>
      </c>
      <c r="I102" s="18"/>
      <c r="J102" s="18">
        <v>1.7692307692307694</v>
      </c>
      <c r="K102" s="18">
        <v>0.56521739130434778</v>
      </c>
      <c r="L102" s="18"/>
      <c r="N102" s="20">
        <v>3.1800000000000002E-2</v>
      </c>
      <c r="P102" s="18"/>
      <c r="Q102" s="18"/>
    </row>
    <row r="103" spans="1:17" s="8" customFormat="1" x14ac:dyDescent="0.3">
      <c r="A103" s="8">
        <v>15</v>
      </c>
      <c r="B103" s="19">
        <v>45177</v>
      </c>
      <c r="C103" s="3"/>
      <c r="D103" s="8">
        <v>20</v>
      </c>
      <c r="E103" s="18">
        <v>1.181093736290501E-2</v>
      </c>
      <c r="F103" s="18">
        <v>0.2616340647101254</v>
      </c>
      <c r="H103" s="18">
        <f t="shared" si="2"/>
        <v>4.5142964758777909E-2</v>
      </c>
      <c r="I103" s="18"/>
      <c r="J103" s="18">
        <v>1.2428842504743833</v>
      </c>
      <c r="K103" s="18">
        <v>0.80458015267175564</v>
      </c>
      <c r="L103" s="18"/>
      <c r="N103" s="20">
        <v>5.1999999999999998E-2</v>
      </c>
      <c r="P103" s="18"/>
      <c r="Q103" s="18"/>
    </row>
    <row r="104" spans="1:17" s="8" customFormat="1" x14ac:dyDescent="0.3">
      <c r="A104" s="8">
        <v>15</v>
      </c>
      <c r="B104" s="19">
        <v>45177</v>
      </c>
      <c r="C104" s="3"/>
      <c r="D104" s="8">
        <v>29</v>
      </c>
      <c r="E104" s="18">
        <v>0.31557348266511814</v>
      </c>
      <c r="F104" s="18">
        <v>2.9325588000240104</v>
      </c>
      <c r="H104" s="18">
        <f t="shared" si="2"/>
        <v>0.1076102830956141</v>
      </c>
      <c r="I104" s="18"/>
      <c r="J104" s="18">
        <v>1.5463258785942491</v>
      </c>
      <c r="K104" s="18">
        <v>0.64669421487603307</v>
      </c>
      <c r="L104" s="18"/>
      <c r="M104" s="8">
        <v>29</v>
      </c>
      <c r="N104" s="22">
        <v>8.5300000000000001E-2</v>
      </c>
      <c r="P104" s="18"/>
      <c r="Q104" s="18"/>
    </row>
    <row r="105" spans="1:17" s="8" customFormat="1" x14ac:dyDescent="0.3">
      <c r="A105" s="8">
        <v>15</v>
      </c>
      <c r="B105" s="19">
        <v>45177</v>
      </c>
      <c r="C105" s="3"/>
      <c r="D105" s="8">
        <v>40</v>
      </c>
      <c r="E105" s="18">
        <v>0.12087756207348095</v>
      </c>
      <c r="F105" s="18">
        <v>1.3786595460689441</v>
      </c>
      <c r="H105" s="18">
        <f t="shared" si="2"/>
        <v>8.7677601347008763E-2</v>
      </c>
      <c r="I105" s="18"/>
      <c r="J105" s="18">
        <v>1.453287197231834</v>
      </c>
      <c r="K105" s="18">
        <v>0.68809523809523809</v>
      </c>
      <c r="L105" s="18"/>
      <c r="N105" s="20">
        <v>4.5999999999999999E-2</v>
      </c>
      <c r="P105" s="18"/>
      <c r="Q105" s="18"/>
    </row>
    <row r="106" spans="1:17" s="8" customFormat="1" x14ac:dyDescent="0.3">
      <c r="A106" s="8">
        <v>15</v>
      </c>
      <c r="B106" s="19">
        <v>45177</v>
      </c>
      <c r="C106" s="3"/>
      <c r="D106" s="8">
        <v>54.8</v>
      </c>
      <c r="E106" s="18">
        <v>7.5663817481110202E-2</v>
      </c>
      <c r="F106" s="18">
        <v>0.63518941371443371</v>
      </c>
      <c r="H106" s="18">
        <f t="shared" si="2"/>
        <v>0.11912008583179391</v>
      </c>
      <c r="I106" s="18"/>
      <c r="J106" s="18">
        <v>1.5985401459854014</v>
      </c>
      <c r="K106" s="18">
        <v>0.62557077625570778</v>
      </c>
      <c r="L106" s="18"/>
      <c r="N106" s="20">
        <v>2.8500000000000001E-2</v>
      </c>
      <c r="P106" s="18"/>
      <c r="Q106" s="18"/>
    </row>
    <row r="107" spans="1:17" s="8" customFormat="1" x14ac:dyDescent="0.3">
      <c r="B107" s="19"/>
      <c r="C107" s="3"/>
      <c r="E107" s="18"/>
      <c r="F107" s="18"/>
      <c r="H107" s="18"/>
      <c r="I107" s="18"/>
      <c r="J107" s="18"/>
      <c r="K107" s="18"/>
      <c r="L107" s="18"/>
      <c r="N107" s="20"/>
      <c r="P107" s="18"/>
      <c r="Q107" s="18"/>
    </row>
    <row r="108" spans="1:17" s="8" customFormat="1" x14ac:dyDescent="0.3">
      <c r="A108" s="8">
        <v>16</v>
      </c>
      <c r="B108" s="19">
        <v>45178</v>
      </c>
      <c r="C108" s="3"/>
      <c r="D108" s="8">
        <v>3.3</v>
      </c>
      <c r="E108" s="18">
        <v>4.5121471644223025E-2</v>
      </c>
      <c r="F108" s="18">
        <v>0.43275869326898581</v>
      </c>
      <c r="H108" s="18">
        <f t="shared" si="2"/>
        <v>0.10426473770724992</v>
      </c>
      <c r="I108" s="18"/>
      <c r="J108" s="18">
        <v>1.5309446254071659</v>
      </c>
      <c r="K108" s="18">
        <v>0.65319148936170224</v>
      </c>
      <c r="L108" s="18"/>
      <c r="N108" s="20">
        <v>2.35E-2</v>
      </c>
      <c r="P108" s="18"/>
      <c r="Q108" s="18"/>
    </row>
    <row r="109" spans="1:17" s="8" customFormat="1" x14ac:dyDescent="0.3">
      <c r="A109" s="8">
        <v>16</v>
      </c>
      <c r="B109" s="19">
        <v>45178</v>
      </c>
      <c r="C109" s="3"/>
      <c r="D109" s="8">
        <v>10.199999999999999</v>
      </c>
      <c r="E109" s="18">
        <v>9.1350218666218438E-2</v>
      </c>
      <c r="F109" s="18">
        <v>1.044977209303301</v>
      </c>
      <c r="H109" s="18">
        <f t="shared" si="2"/>
        <v>8.741838372448596E-2</v>
      </c>
      <c r="I109" s="18"/>
      <c r="J109" s="18">
        <v>1.452054794520548</v>
      </c>
      <c r="K109" s="18">
        <v>0.68867924528301883</v>
      </c>
      <c r="L109" s="18"/>
      <c r="N109" s="20">
        <v>2.53E-2</v>
      </c>
      <c r="P109" s="18"/>
      <c r="Q109" s="18"/>
    </row>
    <row r="110" spans="1:17" s="8" customFormat="1" x14ac:dyDescent="0.3">
      <c r="A110" s="8">
        <v>16</v>
      </c>
      <c r="B110" s="19">
        <v>45178</v>
      </c>
      <c r="C110" s="3"/>
      <c r="D110" s="8">
        <v>20.3</v>
      </c>
      <c r="E110" s="18">
        <v>0.16978222459175946</v>
      </c>
      <c r="F110" s="18">
        <v>2.4038177949191155</v>
      </c>
      <c r="H110" s="18">
        <f t="shared" si="2"/>
        <v>7.0630238677250642E-2</v>
      </c>
      <c r="I110" s="18"/>
      <c r="J110" s="18">
        <v>1.3709677419354838</v>
      </c>
      <c r="K110" s="18">
        <v>0.72941176470588243</v>
      </c>
      <c r="L110" s="18"/>
      <c r="M110" s="8">
        <v>20</v>
      </c>
      <c r="N110" s="22">
        <v>4.9700000000000001E-2</v>
      </c>
      <c r="P110" s="18"/>
      <c r="Q110" s="18"/>
    </row>
    <row r="111" spans="1:17" s="8" customFormat="1" x14ac:dyDescent="0.3">
      <c r="A111" s="8">
        <v>16</v>
      </c>
      <c r="B111" s="19">
        <v>45178</v>
      </c>
      <c r="C111" s="3"/>
      <c r="D111" s="8">
        <v>29.8</v>
      </c>
      <c r="E111" s="18">
        <v>8.3968382814402762E-2</v>
      </c>
      <c r="F111" s="18">
        <v>1.1198122714729419</v>
      </c>
      <c r="H111" s="18">
        <f t="shared" si="2"/>
        <v>7.4984338851685539E-2</v>
      </c>
      <c r="I111" s="18"/>
      <c r="J111" s="18">
        <v>1.3922413793103448</v>
      </c>
      <c r="K111" s="18">
        <v>0.71826625386996912</v>
      </c>
      <c r="L111" s="18"/>
      <c r="N111" s="20">
        <v>3.4700000000000002E-2</v>
      </c>
      <c r="P111" s="18"/>
      <c r="Q111" s="18"/>
    </row>
    <row r="112" spans="1:17" s="8" customFormat="1" x14ac:dyDescent="0.3">
      <c r="A112" s="8">
        <v>16</v>
      </c>
      <c r="B112" s="19">
        <v>45178</v>
      </c>
      <c r="C112" s="3"/>
      <c r="D112" s="8">
        <v>40.299999999999997</v>
      </c>
      <c r="E112" s="18">
        <v>4.890466251827854E-2</v>
      </c>
      <c r="F112" s="18">
        <v>0.52704211604161477</v>
      </c>
      <c r="H112" s="18">
        <f t="shared" si="2"/>
        <v>9.2790805572769586E-2</v>
      </c>
      <c r="I112" s="18"/>
      <c r="J112" s="18">
        <v>1.4774774774774775</v>
      </c>
      <c r="K112" s="18">
        <v>0.67682926829268297</v>
      </c>
      <c r="L112" s="18"/>
      <c r="N112" s="20">
        <v>2.8799999999999999E-2</v>
      </c>
      <c r="P112" s="18"/>
      <c r="Q112" s="18"/>
    </row>
    <row r="113" spans="1:17" s="8" customFormat="1" x14ac:dyDescent="0.3">
      <c r="A113" s="8">
        <v>16</v>
      </c>
      <c r="B113" s="19">
        <v>45178</v>
      </c>
      <c r="C113" s="3"/>
      <c r="D113" s="8">
        <v>55.1</v>
      </c>
      <c r="E113" s="18">
        <v>1.9008227318425244E-2</v>
      </c>
      <c r="F113" s="18">
        <v>0.25703112961298313</v>
      </c>
      <c r="H113" s="18">
        <f t="shared" si="2"/>
        <v>7.3953016302135494E-2</v>
      </c>
      <c r="I113" s="18"/>
      <c r="J113" s="18">
        <v>1.3872180451127818</v>
      </c>
      <c r="K113" s="18">
        <v>0.72086720867208676</v>
      </c>
      <c r="L113" s="18"/>
      <c r="N113" s="20">
        <v>2.46E-2</v>
      </c>
      <c r="P113" s="18"/>
      <c r="Q113" s="18"/>
    </row>
    <row r="114" spans="1:17" s="8" customFormat="1" x14ac:dyDescent="0.3">
      <c r="B114" s="19"/>
      <c r="C114" s="3"/>
      <c r="E114" s="18"/>
      <c r="F114" s="18"/>
      <c r="H114" s="18"/>
      <c r="I114" s="18"/>
      <c r="J114" s="18"/>
      <c r="K114" s="18"/>
      <c r="L114" s="18"/>
      <c r="N114" s="20"/>
      <c r="P114" s="18"/>
      <c r="Q114" s="18"/>
    </row>
    <row r="115" spans="1:17" s="8" customFormat="1" x14ac:dyDescent="0.3">
      <c r="A115" s="8">
        <v>17</v>
      </c>
      <c r="B115" s="19">
        <v>45178</v>
      </c>
      <c r="C115" s="3"/>
      <c r="D115" s="8">
        <v>2.5</v>
      </c>
      <c r="E115" s="18">
        <v>5.2595580444186357E-2</v>
      </c>
      <c r="F115" s="18">
        <v>0.46627539123139322</v>
      </c>
      <c r="H115" s="18">
        <f t="shared" si="2"/>
        <v>0.11279939158977692</v>
      </c>
      <c r="I115" s="18"/>
      <c r="J115" s="18">
        <v>1.5699999999999998</v>
      </c>
      <c r="K115" s="18">
        <v>0.63694267515923575</v>
      </c>
      <c r="L115" s="18"/>
      <c r="N115" s="20">
        <v>2.7400000000000001E-2</v>
      </c>
      <c r="P115" s="18"/>
      <c r="Q115" s="18"/>
    </row>
    <row r="116" spans="1:17" s="8" customFormat="1" x14ac:dyDescent="0.3">
      <c r="A116" s="8">
        <v>17</v>
      </c>
      <c r="B116" s="19">
        <v>45178</v>
      </c>
      <c r="C116" s="3"/>
      <c r="D116" s="8">
        <v>10.199999999999999</v>
      </c>
      <c r="E116" s="18">
        <v>7.1050170073725424E-2</v>
      </c>
      <c r="F116" s="18">
        <v>0.5931046736710166</v>
      </c>
      <c r="H116" s="18">
        <f t="shared" si="2"/>
        <v>0.119793643900934</v>
      </c>
      <c r="I116" s="18"/>
      <c r="J116" s="18">
        <v>1.6015625</v>
      </c>
      <c r="K116" s="18">
        <v>0.62439024390243902</v>
      </c>
      <c r="L116" s="18"/>
      <c r="N116" s="20">
        <v>2.7799999999999998E-2</v>
      </c>
      <c r="P116" s="18"/>
      <c r="Q116" s="18"/>
    </row>
    <row r="117" spans="1:17" s="8" customFormat="1" x14ac:dyDescent="0.3">
      <c r="A117" s="8">
        <v>17</v>
      </c>
      <c r="B117" s="19">
        <v>45178</v>
      </c>
      <c r="C117" s="3"/>
      <c r="D117" s="8">
        <v>19.899999999999999</v>
      </c>
      <c r="E117" s="18">
        <v>0.140254881184497</v>
      </c>
      <c r="F117" s="18">
        <v>1.2088096451720103</v>
      </c>
      <c r="H117" s="18">
        <f t="shared" si="2"/>
        <v>0.11602726843277224</v>
      </c>
      <c r="I117" s="18"/>
      <c r="J117" s="18">
        <v>1.5846153846153848</v>
      </c>
      <c r="K117" s="18">
        <v>0.63106796116504849</v>
      </c>
      <c r="L117" s="18"/>
      <c r="N117" s="20">
        <v>2.81E-2</v>
      </c>
      <c r="P117" s="18"/>
      <c r="Q117" s="18"/>
    </row>
    <row r="118" spans="1:17" s="8" customFormat="1" x14ac:dyDescent="0.3">
      <c r="A118" s="8">
        <v>17</v>
      </c>
      <c r="B118" s="19">
        <v>45178</v>
      </c>
      <c r="C118" s="3"/>
      <c r="D118" s="8">
        <v>30</v>
      </c>
      <c r="E118" s="18">
        <v>0.18731408473982164</v>
      </c>
      <c r="F118" s="18">
        <v>1.6443004452749743</v>
      </c>
      <c r="H118" s="18">
        <f t="shared" si="2"/>
        <v>0.11391718908675315</v>
      </c>
      <c r="I118" s="18"/>
      <c r="J118" s="18">
        <v>1.5750708215297453</v>
      </c>
      <c r="K118" s="18">
        <v>0.63489208633093519</v>
      </c>
      <c r="L118" s="18"/>
      <c r="M118" s="8">
        <v>30</v>
      </c>
      <c r="N118" s="22">
        <v>4.0800000000000003E-2</v>
      </c>
      <c r="P118" s="18"/>
      <c r="Q118" s="18"/>
    </row>
    <row r="119" spans="1:17" s="8" customFormat="1" x14ac:dyDescent="0.3">
      <c r="A119" s="8">
        <v>17</v>
      </c>
      <c r="B119" s="19">
        <v>45178</v>
      </c>
      <c r="C119" s="3"/>
      <c r="D119" s="8">
        <v>39.9</v>
      </c>
      <c r="E119" s="18">
        <v>1.0888207881428056E-2</v>
      </c>
      <c r="F119" s="18">
        <v>0.13335792224438306</v>
      </c>
      <c r="H119" s="18">
        <f t="shared" si="2"/>
        <v>8.1646502121374046E-2</v>
      </c>
      <c r="I119" s="18"/>
      <c r="J119" s="18">
        <v>1.4244604316546763</v>
      </c>
      <c r="K119" s="18">
        <v>0.70202020202020199</v>
      </c>
      <c r="L119" s="18"/>
      <c r="N119" s="20">
        <v>2.63E-2</v>
      </c>
      <c r="P119" s="18"/>
      <c r="Q119" s="18"/>
    </row>
    <row r="120" spans="1:17" s="8" customFormat="1" x14ac:dyDescent="0.3">
      <c r="A120" s="8">
        <v>17</v>
      </c>
      <c r="B120" s="19">
        <v>45178</v>
      </c>
      <c r="C120" s="3"/>
      <c r="D120" s="8">
        <v>54.7</v>
      </c>
      <c r="E120" s="18">
        <v>3.8662365273884357E-2</v>
      </c>
      <c r="F120" s="18">
        <v>0.32506618587069691</v>
      </c>
      <c r="H120" s="18">
        <f t="shared" si="2"/>
        <v>0.11893690255824783</v>
      </c>
      <c r="I120" s="18"/>
      <c r="J120" s="18">
        <v>1.5977175463623394</v>
      </c>
      <c r="K120" s="18">
        <v>0.62589285714285714</v>
      </c>
      <c r="L120" s="18"/>
      <c r="N120" s="20">
        <v>2.1399999999999999E-2</v>
      </c>
      <c r="P120" s="18"/>
      <c r="Q120" s="18"/>
    </row>
    <row r="121" spans="1:17" s="8" customFormat="1" x14ac:dyDescent="0.3">
      <c r="B121" s="19"/>
      <c r="C121" s="3"/>
      <c r="E121" s="18"/>
      <c r="F121" s="18"/>
      <c r="H121" s="18"/>
      <c r="I121" s="18"/>
      <c r="J121" s="18"/>
      <c r="K121" s="18"/>
      <c r="L121" s="18"/>
      <c r="N121" s="20"/>
      <c r="P121" s="18"/>
      <c r="Q121" s="18"/>
    </row>
    <row r="122" spans="1:17" s="8" customFormat="1" x14ac:dyDescent="0.3">
      <c r="A122" s="8">
        <v>18</v>
      </c>
      <c r="B122" s="19">
        <v>45179</v>
      </c>
      <c r="C122" s="3"/>
      <c r="D122" s="8">
        <v>9.6999999999999993</v>
      </c>
      <c r="E122" s="18">
        <v>7.1050170073725438E-2</v>
      </c>
      <c r="F122" s="18">
        <v>0.62423693197155128</v>
      </c>
      <c r="H122" s="18">
        <f t="shared" si="2"/>
        <v>0.11381923502879744</v>
      </c>
      <c r="I122" s="18"/>
      <c r="J122" s="18">
        <v>1.5746268656716418</v>
      </c>
      <c r="K122" s="18">
        <v>0.63507109004739337</v>
      </c>
      <c r="L122" s="18"/>
      <c r="N122" s="20">
        <v>3.0300000000000001E-2</v>
      </c>
      <c r="P122" s="18"/>
      <c r="Q122" s="18"/>
    </row>
    <row r="123" spans="1:17" s="8" customFormat="1" x14ac:dyDescent="0.3">
      <c r="A123" s="8">
        <v>18</v>
      </c>
      <c r="B123" s="19">
        <v>45179</v>
      </c>
      <c r="C123" s="3"/>
      <c r="D123" s="8">
        <v>19.8</v>
      </c>
      <c r="E123" s="18">
        <v>0.14579125807335866</v>
      </c>
      <c r="F123" s="18">
        <v>1.1565748808323462</v>
      </c>
      <c r="H123" s="18">
        <f t="shared" si="2"/>
        <v>0.12605431821970561</v>
      </c>
      <c r="I123" s="18"/>
      <c r="J123" s="18">
        <v>1.6294820717131473</v>
      </c>
      <c r="K123" s="18">
        <v>0.61369193154034241</v>
      </c>
      <c r="L123" s="18"/>
      <c r="M123" s="8">
        <v>20</v>
      </c>
      <c r="N123" s="22">
        <v>4.4499999999999998E-2</v>
      </c>
      <c r="P123" s="18"/>
      <c r="Q123" s="18"/>
    </row>
    <row r="124" spans="1:17" s="8" customFormat="1" x14ac:dyDescent="0.3">
      <c r="A124" s="8">
        <v>18</v>
      </c>
      <c r="B124" s="19">
        <v>45179</v>
      </c>
      <c r="C124" s="3"/>
      <c r="D124" s="8">
        <v>30.1</v>
      </c>
      <c r="E124" s="18">
        <v>0.10795934933280357</v>
      </c>
      <c r="F124" s="18">
        <v>1.4849745337112259</v>
      </c>
      <c r="H124" s="18">
        <f t="shared" si="2"/>
        <v>7.2701145293713021E-2</v>
      </c>
      <c r="I124" s="18"/>
      <c r="J124" s="18">
        <v>1.3811074918566775</v>
      </c>
      <c r="K124" s="18">
        <v>0.72405660377358494</v>
      </c>
      <c r="L124" s="18"/>
      <c r="N124" s="20">
        <v>4.24E-2</v>
      </c>
      <c r="P124" s="18"/>
      <c r="Q124" s="18"/>
    </row>
    <row r="125" spans="1:17" s="8" customFormat="1" x14ac:dyDescent="0.3">
      <c r="A125" s="8">
        <v>18</v>
      </c>
      <c r="B125" s="19">
        <v>45179</v>
      </c>
      <c r="C125" s="3"/>
      <c r="D125" s="8">
        <v>40.200000000000003</v>
      </c>
      <c r="E125" s="18">
        <v>3.5894176829453499E-2</v>
      </c>
      <c r="F125" s="18">
        <v>0.26816421257243617</v>
      </c>
      <c r="H125" s="18">
        <f t="shared" si="2"/>
        <v>0.13385148034903357</v>
      </c>
      <c r="I125" s="18"/>
      <c r="J125" s="18">
        <v>1.6638225255972696</v>
      </c>
      <c r="K125" s="18">
        <v>0.60102564102564104</v>
      </c>
      <c r="L125" s="18"/>
      <c r="N125" s="20">
        <v>2.5600000000000001E-2</v>
      </c>
      <c r="P125" s="18"/>
      <c r="Q125" s="18"/>
    </row>
    <row r="126" spans="1:17" s="8" customFormat="1" x14ac:dyDescent="0.3">
      <c r="A126" s="8">
        <v>18</v>
      </c>
      <c r="B126" s="19">
        <v>45179</v>
      </c>
      <c r="C126" s="3"/>
      <c r="D126" s="8">
        <v>54.8</v>
      </c>
      <c r="E126" s="18">
        <v>5.9977416296001984E-3</v>
      </c>
      <c r="F126" s="18">
        <v>9.4663226875462247E-2</v>
      </c>
      <c r="H126" s="18">
        <f t="shared" si="2"/>
        <v>6.3358727856285227E-2</v>
      </c>
      <c r="I126" s="18"/>
      <c r="J126" s="18">
        <v>1.3350515463917525</v>
      </c>
      <c r="K126" s="18">
        <v>0.74903474903474909</v>
      </c>
      <c r="L126" s="18"/>
      <c r="N126" s="20">
        <v>2.2599999999999999E-2</v>
      </c>
      <c r="P126" s="18"/>
      <c r="Q126" s="18"/>
    </row>
    <row r="127" spans="1:17" s="8" customFormat="1" x14ac:dyDescent="0.3">
      <c r="B127" s="19"/>
      <c r="C127" s="3"/>
      <c r="E127" s="18"/>
      <c r="F127" s="18"/>
      <c r="H127" s="18"/>
      <c r="I127" s="18"/>
      <c r="J127" s="18"/>
      <c r="K127" s="18"/>
      <c r="L127" s="18"/>
      <c r="N127" s="20"/>
      <c r="P127" s="18"/>
      <c r="Q127" s="18"/>
    </row>
    <row r="128" spans="1:17" s="8" customFormat="1" x14ac:dyDescent="0.3">
      <c r="A128" s="8">
        <v>19</v>
      </c>
      <c r="B128" s="19">
        <v>45179</v>
      </c>
      <c r="C128" s="3"/>
      <c r="D128" s="8">
        <v>2</v>
      </c>
      <c r="E128" s="18">
        <v>5.6286498370094175E-2</v>
      </c>
      <c r="F128" s="18">
        <v>0.49371673160602014</v>
      </c>
      <c r="H128" s="18">
        <f t="shared" si="2"/>
        <v>0.11400565297230013</v>
      </c>
      <c r="I128" s="18"/>
      <c r="J128" s="18">
        <v>1.5754716981132075</v>
      </c>
      <c r="K128" s="18">
        <v>0.6347305389221557</v>
      </c>
      <c r="L128" s="18"/>
      <c r="N128" s="20">
        <v>3.1300000000000001E-2</v>
      </c>
      <c r="P128" s="18"/>
      <c r="Q128" s="18"/>
    </row>
    <row r="129" spans="1:17" s="8" customFormat="1" x14ac:dyDescent="0.3">
      <c r="A129" s="8">
        <v>19</v>
      </c>
      <c r="B129" s="19">
        <v>45179</v>
      </c>
      <c r="C129" s="3"/>
      <c r="D129" s="8">
        <v>10</v>
      </c>
      <c r="E129" s="18">
        <v>7.3818358518156296E-2</v>
      </c>
      <c r="F129" s="18">
        <v>0.7148655184287247</v>
      </c>
      <c r="H129" s="18">
        <f t="shared" si="2"/>
        <v>0.10326188159195192</v>
      </c>
      <c r="I129" s="18"/>
      <c r="J129" s="18">
        <v>1.5263157894736843</v>
      </c>
      <c r="K129" s="18">
        <v>0.65517241379310343</v>
      </c>
      <c r="L129" s="18"/>
      <c r="N129" s="20">
        <v>3.1399999999999997E-2</v>
      </c>
      <c r="P129" s="18"/>
      <c r="Q129" s="18"/>
    </row>
    <row r="130" spans="1:17" s="8" customFormat="1" x14ac:dyDescent="0.3">
      <c r="A130" s="8">
        <v>19</v>
      </c>
      <c r="B130" s="19">
        <v>45179</v>
      </c>
      <c r="C130" s="3"/>
      <c r="D130" s="8">
        <v>19</v>
      </c>
      <c r="E130" s="18">
        <v>9.7809325036557079E-2</v>
      </c>
      <c r="F130" s="18">
        <v>0.81540358511246314</v>
      </c>
      <c r="H130" s="18">
        <f t="shared" si="2"/>
        <v>0.11995204193646868</v>
      </c>
      <c r="I130" s="18"/>
      <c r="J130" s="18">
        <v>1.6022727272727271</v>
      </c>
      <c r="K130" s="18">
        <v>0.62411347517730498</v>
      </c>
      <c r="L130" s="18"/>
      <c r="M130" s="8">
        <v>20</v>
      </c>
      <c r="N130" s="22">
        <v>3.2099999999999997E-2</v>
      </c>
      <c r="P130" s="18"/>
      <c r="Q130" s="18"/>
    </row>
    <row r="131" spans="1:17" s="8" customFormat="1" x14ac:dyDescent="0.3">
      <c r="A131" s="8">
        <v>19</v>
      </c>
      <c r="B131" s="19">
        <v>45179</v>
      </c>
      <c r="C131" s="3"/>
      <c r="D131" s="8">
        <v>30</v>
      </c>
      <c r="E131" s="18">
        <v>9.5963866073603202E-2</v>
      </c>
      <c r="F131" s="18">
        <v>0.88470227039324223</v>
      </c>
      <c r="H131" s="18">
        <f t="shared" si="2"/>
        <v>0.10847023827682518</v>
      </c>
      <c r="I131" s="18"/>
      <c r="J131" s="18">
        <v>1.5502645502645505</v>
      </c>
      <c r="K131" s="18">
        <v>0.64505119453924908</v>
      </c>
      <c r="L131" s="18"/>
      <c r="N131" s="20">
        <v>3.1699999999999999E-2</v>
      </c>
      <c r="P131" s="18"/>
      <c r="Q131" s="18"/>
    </row>
    <row r="132" spans="1:17" s="8" customFormat="1" x14ac:dyDescent="0.3">
      <c r="A132" s="8">
        <v>19</v>
      </c>
      <c r="B132" s="19">
        <v>45179</v>
      </c>
      <c r="C132" s="3"/>
      <c r="D132" s="8">
        <v>40</v>
      </c>
      <c r="E132" s="18">
        <v>6.0807872829331248E-2</v>
      </c>
      <c r="F132" s="18">
        <v>0.45339326010116815</v>
      </c>
      <c r="H132" s="18">
        <f t="shared" si="2"/>
        <v>0.13411728444256726</v>
      </c>
      <c r="I132" s="18"/>
      <c r="J132" s="18">
        <v>1.6649848637739657</v>
      </c>
      <c r="K132" s="18">
        <v>0.60060606060606059</v>
      </c>
      <c r="L132" s="18"/>
      <c r="N132" s="20">
        <v>2.5700000000000001E-2</v>
      </c>
      <c r="P132" s="18"/>
      <c r="Q132" s="18"/>
    </row>
    <row r="133" spans="1:17" s="8" customFormat="1" x14ac:dyDescent="0.3">
      <c r="A133" s="8">
        <v>19</v>
      </c>
      <c r="B133" s="19">
        <v>45179</v>
      </c>
      <c r="C133" s="3"/>
      <c r="D133" s="8">
        <v>55</v>
      </c>
      <c r="E133" s="18">
        <v>1.4394579911040473E-2</v>
      </c>
      <c r="F133" s="18">
        <v>0.19263493778751581</v>
      </c>
      <c r="H133" s="18">
        <f t="shared" si="2"/>
        <v>7.4724658342705627E-2</v>
      </c>
      <c r="I133" s="18"/>
      <c r="J133" s="18">
        <v>1.3909774436090225</v>
      </c>
      <c r="K133" s="18">
        <v>0.71891891891891901</v>
      </c>
      <c r="L133" s="18"/>
      <c r="N133" s="20">
        <v>2.12E-2</v>
      </c>
      <c r="P133" s="18"/>
      <c r="Q133" s="18"/>
    </row>
    <row r="134" spans="1:17" s="8" customFormat="1" x14ac:dyDescent="0.3">
      <c r="B134" s="19"/>
      <c r="C134" s="3"/>
      <c r="E134" s="18"/>
      <c r="F134" s="18"/>
      <c r="H134" s="18"/>
      <c r="I134" s="18"/>
      <c r="J134" s="18"/>
      <c r="K134" s="18"/>
      <c r="L134" s="18"/>
      <c r="N134" s="20"/>
      <c r="P134" s="18"/>
      <c r="Q134" s="18"/>
    </row>
    <row r="135" spans="1:17" s="8" customFormat="1" x14ac:dyDescent="0.3">
      <c r="A135" s="8">
        <v>20</v>
      </c>
      <c r="B135" s="19">
        <v>45179</v>
      </c>
      <c r="C135" s="3"/>
      <c r="D135" s="8">
        <v>6.3</v>
      </c>
      <c r="E135" s="18">
        <v>8.1200194369971931E-2</v>
      </c>
      <c r="F135" s="18">
        <v>0.63484174654232794</v>
      </c>
      <c r="H135" s="18">
        <f t="shared" si="2"/>
        <v>0.12790619837499601</v>
      </c>
      <c r="I135" s="18"/>
      <c r="J135" s="18">
        <v>1.6376811594202898</v>
      </c>
      <c r="K135" s="18">
        <v>0.61061946902654862</v>
      </c>
      <c r="L135" s="18"/>
      <c r="N135" s="20">
        <v>3.1E-2</v>
      </c>
      <c r="P135" s="18"/>
      <c r="Q135" s="18"/>
    </row>
    <row r="136" spans="1:17" s="8" customFormat="1" x14ac:dyDescent="0.3">
      <c r="A136" s="8">
        <v>20</v>
      </c>
      <c r="B136" s="19">
        <v>45179</v>
      </c>
      <c r="C136" s="3"/>
      <c r="D136" s="8">
        <v>10</v>
      </c>
      <c r="E136" s="18">
        <v>8.9504759703264505E-2</v>
      </c>
      <c r="F136" s="18">
        <v>0.74587750469441871</v>
      </c>
      <c r="H136" s="18">
        <f t="shared" si="2"/>
        <v>0.11999927486743824</v>
      </c>
      <c r="I136" s="18"/>
      <c r="J136" s="18">
        <v>1.6024844720496894</v>
      </c>
      <c r="K136" s="18">
        <v>0.62403100775193798</v>
      </c>
      <c r="L136" s="18"/>
      <c r="N136" s="20">
        <v>3.15E-2</v>
      </c>
      <c r="P136" s="18"/>
      <c r="Q136" s="18"/>
    </row>
    <row r="137" spans="1:17" s="8" customFormat="1" x14ac:dyDescent="0.3">
      <c r="A137" s="8">
        <v>20</v>
      </c>
      <c r="B137" s="19">
        <v>45179</v>
      </c>
      <c r="C137" s="3"/>
      <c r="D137" s="8">
        <v>19.7</v>
      </c>
      <c r="E137" s="25">
        <v>0.11441845570314228</v>
      </c>
      <c r="F137" s="18">
        <v>1.0374751014166443</v>
      </c>
      <c r="H137" s="18">
        <f t="shared" si="2"/>
        <v>0.11028549557180405</v>
      </c>
      <c r="I137" s="18"/>
      <c r="J137" s="18">
        <v>1.5585585585585586</v>
      </c>
      <c r="K137" s="18">
        <v>0.64161849710982655</v>
      </c>
      <c r="L137" s="18"/>
      <c r="M137" s="8">
        <v>20</v>
      </c>
      <c r="N137" s="20">
        <v>3.4200000000000001E-2</v>
      </c>
      <c r="P137" s="18"/>
      <c r="Q137" s="18"/>
    </row>
    <row r="138" spans="1:17" s="8" customFormat="1" x14ac:dyDescent="0.3">
      <c r="A138" s="8">
        <v>20</v>
      </c>
      <c r="B138" s="19">
        <v>45179</v>
      </c>
      <c r="C138" s="3"/>
      <c r="D138" s="8">
        <v>30</v>
      </c>
      <c r="E138" s="25">
        <v>0.10611389036984964</v>
      </c>
      <c r="F138" s="18">
        <v>1.2844603137207036</v>
      </c>
      <c r="H138" s="18">
        <f t="shared" si="2"/>
        <v>8.261359984137534E-2</v>
      </c>
      <c r="I138" s="18"/>
      <c r="J138" s="18">
        <v>1.4291044776119401</v>
      </c>
      <c r="K138" s="18">
        <v>0.69973890339425593</v>
      </c>
      <c r="L138" s="18"/>
      <c r="N138" s="22">
        <v>3.5700000000000003E-2</v>
      </c>
      <c r="P138" s="18"/>
      <c r="Q138" s="18"/>
    </row>
    <row r="139" spans="1:17" s="8" customFormat="1" x14ac:dyDescent="0.3">
      <c r="A139" s="8">
        <v>20</v>
      </c>
      <c r="B139" s="19">
        <v>45179</v>
      </c>
      <c r="C139" s="3"/>
      <c r="D139" s="8">
        <v>40</v>
      </c>
      <c r="E139" s="18">
        <v>6.5513793184863722E-2</v>
      </c>
      <c r="F139" s="18">
        <v>0.66090556716094762</v>
      </c>
      <c r="H139" s="18">
        <f t="shared" si="2"/>
        <v>9.912731325035036E-2</v>
      </c>
      <c r="I139" s="18"/>
      <c r="J139" s="18">
        <v>1.5071428571428573</v>
      </c>
      <c r="K139" s="18">
        <v>0.6635071090047393</v>
      </c>
      <c r="L139" s="18"/>
      <c r="N139" s="20">
        <v>2.9600000000000001E-2</v>
      </c>
      <c r="P139" s="18"/>
      <c r="Q139" s="18"/>
    </row>
    <row r="140" spans="1:17" s="8" customFormat="1" x14ac:dyDescent="0.3">
      <c r="A140" s="8">
        <v>20</v>
      </c>
      <c r="B140" s="19">
        <v>45179</v>
      </c>
      <c r="C140" s="3"/>
      <c r="D140" s="8">
        <v>54.7</v>
      </c>
      <c r="E140" s="18">
        <v>9.0981126873627624E-2</v>
      </c>
      <c r="F140" s="18">
        <v>0.32619113435353836</v>
      </c>
      <c r="H140" s="18">
        <f t="shared" si="2"/>
        <v>0.27891968018670554</v>
      </c>
      <c r="I140" s="18"/>
      <c r="J140" s="18">
        <v>2.2263681592039801</v>
      </c>
      <c r="K140" s="18">
        <v>0.44916201117318433</v>
      </c>
      <c r="L140" s="18"/>
      <c r="N140" s="20">
        <v>2.3099999999999999E-2</v>
      </c>
      <c r="P140" s="18"/>
      <c r="Q140" s="18"/>
    </row>
    <row r="141" spans="1:17" s="8" customFormat="1" x14ac:dyDescent="0.3">
      <c r="B141" s="19"/>
      <c r="C141" s="3"/>
      <c r="E141" s="18"/>
      <c r="F141" s="18"/>
      <c r="H141" s="18"/>
      <c r="I141" s="18"/>
      <c r="J141" s="18"/>
      <c r="K141" s="18"/>
      <c r="L141" s="18"/>
      <c r="N141" s="20"/>
      <c r="P141" s="18"/>
      <c r="Q141" s="18"/>
    </row>
    <row r="142" spans="1:17" s="8" customFormat="1" x14ac:dyDescent="0.3">
      <c r="A142" s="8">
        <v>21</v>
      </c>
      <c r="B142" s="19">
        <v>45179</v>
      </c>
      <c r="C142" s="3"/>
      <c r="D142" s="8">
        <v>2.8</v>
      </c>
      <c r="E142" s="18">
        <v>0.12549120948086573</v>
      </c>
      <c r="F142" s="18">
        <v>1.0160249282054095</v>
      </c>
      <c r="H142" s="18">
        <f t="shared" si="2"/>
        <v>0.12351193951758555</v>
      </c>
      <c r="I142" s="18"/>
      <c r="J142" s="18">
        <v>1.6181818181818182</v>
      </c>
      <c r="K142" s="18">
        <v>0.6179775280898876</v>
      </c>
      <c r="L142" s="18"/>
      <c r="N142" s="20">
        <v>3.4799999999999998E-2</v>
      </c>
      <c r="P142" s="18"/>
      <c r="Q142" s="18"/>
    </row>
    <row r="143" spans="1:17" s="8" customFormat="1" x14ac:dyDescent="0.3">
      <c r="A143" s="8">
        <v>21</v>
      </c>
      <c r="B143" s="19">
        <v>45179</v>
      </c>
      <c r="C143" s="3"/>
      <c r="D143" s="8">
        <v>10.3</v>
      </c>
      <c r="E143" s="18">
        <v>0.15225036444369733</v>
      </c>
      <c r="F143" s="18">
        <v>1.3420980339819719</v>
      </c>
      <c r="H143" s="18">
        <f t="shared" si="2"/>
        <v>0.11344205906626227</v>
      </c>
      <c r="I143" s="18"/>
      <c r="J143" s="18">
        <v>1.5729166666666665</v>
      </c>
      <c r="K143" s="18">
        <v>0.63576158940397354</v>
      </c>
      <c r="L143" s="18"/>
      <c r="N143" s="20">
        <v>4.1500000000000002E-2</v>
      </c>
      <c r="P143" s="18"/>
      <c r="Q143" s="18"/>
    </row>
    <row r="144" spans="1:17" s="8" customFormat="1" x14ac:dyDescent="0.3">
      <c r="A144" s="8">
        <v>21</v>
      </c>
      <c r="B144" s="19">
        <v>45179</v>
      </c>
      <c r="C144" s="3"/>
      <c r="D144" s="8">
        <v>20</v>
      </c>
      <c r="E144" s="18">
        <v>0.24821423051730054</v>
      </c>
      <c r="F144" s="18">
        <v>2.0036857865547146</v>
      </c>
      <c r="H144" s="18">
        <f t="shared" si="2"/>
        <v>0.12387881981440735</v>
      </c>
      <c r="I144" s="18"/>
      <c r="J144" s="18">
        <v>1.6198156682027649</v>
      </c>
      <c r="K144" s="18">
        <v>0.61735419630156474</v>
      </c>
      <c r="L144" s="18"/>
      <c r="M144" s="8">
        <v>20</v>
      </c>
      <c r="N144" s="22">
        <v>5.0599999999999999E-2</v>
      </c>
      <c r="P144" s="18"/>
      <c r="Q144" s="18"/>
    </row>
    <row r="145" spans="1:17" s="8" customFormat="1" x14ac:dyDescent="0.3">
      <c r="A145" s="8">
        <v>21</v>
      </c>
      <c r="B145" s="19">
        <v>45179</v>
      </c>
      <c r="C145" s="3"/>
      <c r="D145" s="8">
        <v>30.1</v>
      </c>
      <c r="E145" s="18">
        <v>9.0427489184741472E-2</v>
      </c>
      <c r="F145" s="18">
        <v>0.7293886460626744</v>
      </c>
      <c r="H145" s="18">
        <f t="shared" si="2"/>
        <v>0.12397710010003539</v>
      </c>
      <c r="I145" s="18"/>
      <c r="J145" s="18">
        <v>1.620253164556962</v>
      </c>
      <c r="K145" s="18">
        <v>0.6171875</v>
      </c>
      <c r="L145" s="18"/>
      <c r="N145" s="20">
        <v>3.5299999999999998E-2</v>
      </c>
      <c r="P145" s="18"/>
      <c r="Q145" s="18"/>
    </row>
    <row r="146" spans="1:17" s="8" customFormat="1" x14ac:dyDescent="0.3">
      <c r="A146" s="8">
        <v>21</v>
      </c>
      <c r="B146" s="19">
        <v>45179</v>
      </c>
      <c r="C146" s="3"/>
      <c r="D146" s="8">
        <v>40</v>
      </c>
      <c r="E146" s="18">
        <v>2.5190514844320833E-2</v>
      </c>
      <c r="F146" s="18">
        <v>0.21452787406979695</v>
      </c>
      <c r="H146" s="18">
        <f t="shared" si="2"/>
        <v>0.11742303863098491</v>
      </c>
      <c r="I146" s="18"/>
      <c r="J146" s="18">
        <v>1.5909090909090908</v>
      </c>
      <c r="K146" s="18">
        <v>0.62857142857142867</v>
      </c>
      <c r="L146" s="18"/>
      <c r="N146" s="20">
        <v>2.4299999999999999E-2</v>
      </c>
      <c r="P146" s="18"/>
      <c r="Q146" s="18"/>
    </row>
    <row r="147" spans="1:17" s="8" customFormat="1" x14ac:dyDescent="0.3">
      <c r="A147" s="8">
        <v>21</v>
      </c>
      <c r="B147" s="19">
        <v>45179</v>
      </c>
      <c r="C147" s="3"/>
      <c r="D147" s="8">
        <v>55.2</v>
      </c>
      <c r="E147" s="18">
        <v>1.1718664414757312E-2</v>
      </c>
      <c r="F147" s="18">
        <v>0.13667843348445843</v>
      </c>
      <c r="H147" s="18">
        <f t="shared" si="2"/>
        <v>8.5738942977348576E-2</v>
      </c>
      <c r="I147" s="18"/>
      <c r="J147" s="18">
        <v>1.4440559440559442</v>
      </c>
      <c r="K147" s="18">
        <v>0.69249394673123488</v>
      </c>
      <c r="L147" s="18"/>
      <c r="N147" s="20">
        <v>2.1299999999999999E-2</v>
      </c>
      <c r="P147" s="18"/>
      <c r="Q147" s="18"/>
    </row>
    <row r="148" spans="1:17" s="8" customFormat="1" x14ac:dyDescent="0.3">
      <c r="B148" s="19"/>
      <c r="C148" s="3"/>
      <c r="E148" s="18"/>
      <c r="F148" s="18"/>
      <c r="H148" s="18"/>
      <c r="I148" s="18"/>
      <c r="J148" s="18"/>
      <c r="K148" s="18"/>
      <c r="L148" s="18"/>
      <c r="N148" s="20"/>
      <c r="P148" s="18"/>
      <c r="Q148" s="18"/>
    </row>
    <row r="149" spans="1:17" s="8" customFormat="1" x14ac:dyDescent="0.3">
      <c r="A149" s="8">
        <v>22</v>
      </c>
      <c r="B149" s="19">
        <v>45181</v>
      </c>
      <c r="C149" s="3"/>
      <c r="D149" s="8">
        <v>5.5</v>
      </c>
      <c r="E149" s="18">
        <v>0.11903210311052705</v>
      </c>
      <c r="F149" s="18">
        <v>0.79936951675524903</v>
      </c>
      <c r="H149" s="18">
        <f t="shared" si="2"/>
        <v>0.14890748347984889</v>
      </c>
      <c r="I149" s="18"/>
      <c r="J149" s="18">
        <v>1.728813559322034</v>
      </c>
      <c r="K149" s="18">
        <v>0.57843137254901955</v>
      </c>
      <c r="L149" s="18"/>
      <c r="N149" s="20">
        <v>3.6700000000000003E-2</v>
      </c>
      <c r="P149" s="18"/>
      <c r="Q149" s="18"/>
    </row>
    <row r="150" spans="1:17" s="8" customFormat="1" x14ac:dyDescent="0.3">
      <c r="A150" s="8">
        <v>22</v>
      </c>
      <c r="B150" s="19">
        <v>45181</v>
      </c>
      <c r="C150" s="3"/>
      <c r="D150" s="8">
        <v>10.199999999999999</v>
      </c>
      <c r="E150" s="18">
        <v>0.12180029155495792</v>
      </c>
      <c r="F150" s="18">
        <v>0.86405455462864333</v>
      </c>
      <c r="H150" s="18">
        <f t="shared" si="2"/>
        <v>0.1409636589524208</v>
      </c>
      <c r="I150" s="18"/>
      <c r="J150" s="18">
        <v>1.6947368421052633</v>
      </c>
      <c r="K150" s="18">
        <v>0.59006211180124213</v>
      </c>
      <c r="L150" s="18"/>
      <c r="N150" s="20">
        <v>3.5700000000000003E-2</v>
      </c>
      <c r="P150" s="18"/>
      <c r="Q150" s="18"/>
    </row>
    <row r="151" spans="1:17" s="8" customFormat="1" x14ac:dyDescent="0.3">
      <c r="A151" s="8">
        <v>22</v>
      </c>
      <c r="B151" s="19">
        <v>45181</v>
      </c>
      <c r="C151" s="3"/>
      <c r="D151" s="8">
        <v>20</v>
      </c>
      <c r="E151" s="18">
        <v>0.31649621214659507</v>
      </c>
      <c r="F151" s="18">
        <v>2.3556892919826398</v>
      </c>
      <c r="H151" s="18">
        <f t="shared" si="2"/>
        <v>0.13435397156312559</v>
      </c>
      <c r="I151" s="18"/>
      <c r="J151" s="18">
        <v>1.6660194174757281</v>
      </c>
      <c r="K151" s="18">
        <v>0.60023310023310028</v>
      </c>
      <c r="L151" s="18"/>
      <c r="M151" s="8">
        <v>20</v>
      </c>
      <c r="N151" s="22">
        <v>5.3600000000000002E-2</v>
      </c>
      <c r="P151" s="18"/>
      <c r="Q151" s="18"/>
    </row>
    <row r="152" spans="1:17" s="8" customFormat="1" x14ac:dyDescent="0.3">
      <c r="A152" s="8">
        <v>22</v>
      </c>
      <c r="B152" s="19">
        <v>45181</v>
      </c>
      <c r="C152" s="3"/>
      <c r="D152" s="8">
        <v>30</v>
      </c>
      <c r="E152" s="18">
        <v>0.10334570192541881</v>
      </c>
      <c r="F152" s="18">
        <v>0.87213172482467094</v>
      </c>
      <c r="H152" s="18">
        <f t="shared" si="2"/>
        <v>0.11849781286903067</v>
      </c>
      <c r="I152" s="18"/>
      <c r="J152" s="18">
        <v>1.5957446808510638</v>
      </c>
      <c r="K152" s="18">
        <v>0.62666666666666671</v>
      </c>
      <c r="L152" s="18"/>
      <c r="N152" s="20">
        <v>3.2300000000000002E-2</v>
      </c>
      <c r="P152" s="18"/>
      <c r="Q152" s="18"/>
    </row>
    <row r="153" spans="1:17" s="8" customFormat="1" x14ac:dyDescent="0.3">
      <c r="A153" s="8">
        <v>22</v>
      </c>
      <c r="B153" s="19">
        <v>45181</v>
      </c>
      <c r="C153" s="3"/>
      <c r="D153" s="8">
        <v>40</v>
      </c>
      <c r="E153" s="18">
        <v>5.7116954903423431E-2</v>
      </c>
      <c r="F153" s="18">
        <v>0.43114062944329701</v>
      </c>
      <c r="H153" s="18">
        <f t="shared" si="2"/>
        <v>0.13247871112767712</v>
      </c>
      <c r="I153" s="18"/>
      <c r="J153" s="18">
        <v>1.6578108395324123</v>
      </c>
      <c r="K153" s="18">
        <v>0.60320512820512828</v>
      </c>
      <c r="L153" s="18"/>
      <c r="N153" s="20">
        <v>2.9100000000000001E-2</v>
      </c>
      <c r="P153" s="18"/>
      <c r="Q153" s="18"/>
    </row>
    <row r="154" spans="1:17" s="8" customFormat="1" x14ac:dyDescent="0.3">
      <c r="A154" s="8">
        <v>22</v>
      </c>
      <c r="B154" s="19">
        <v>45181</v>
      </c>
      <c r="C154" s="3"/>
      <c r="D154" s="8">
        <v>55</v>
      </c>
      <c r="E154" s="18">
        <v>9.5041136592126218E-3</v>
      </c>
      <c r="F154" s="18">
        <v>0.11139282274119744</v>
      </c>
      <c r="H154" s="18">
        <f t="shared" si="2"/>
        <v>8.5320700430528071E-2</v>
      </c>
      <c r="I154" s="18"/>
      <c r="J154" s="18">
        <v>1.4420600858369097</v>
      </c>
      <c r="K154" s="18">
        <v>0.69345238095238104</v>
      </c>
      <c r="L154" s="18"/>
      <c r="N154" s="20">
        <v>2.1299999999999999E-2</v>
      </c>
      <c r="P154" s="18"/>
      <c r="Q154" s="18"/>
    </row>
    <row r="155" spans="1:17" s="8" customFormat="1" x14ac:dyDescent="0.3">
      <c r="B155" s="19"/>
      <c r="C155" s="3"/>
      <c r="E155" s="18"/>
      <c r="F155" s="18"/>
      <c r="H155" s="18"/>
      <c r="I155" s="18"/>
      <c r="J155" s="18"/>
      <c r="K155" s="18"/>
      <c r="L155" s="18"/>
      <c r="N155" s="20"/>
      <c r="P155" s="18"/>
      <c r="Q155" s="18"/>
    </row>
    <row r="156" spans="1:17" s="8" customFormat="1" x14ac:dyDescent="0.3">
      <c r="A156" s="8">
        <v>23</v>
      </c>
      <c r="B156" s="19">
        <v>45181</v>
      </c>
      <c r="C156" s="3"/>
      <c r="D156" s="8">
        <v>5.3</v>
      </c>
      <c r="E156" s="18">
        <v>0.16147765925846685</v>
      </c>
      <c r="F156" s="18">
        <v>1.3069271905834237</v>
      </c>
      <c r="H156" s="18">
        <f t="shared" ref="H156:H229" si="4">E156/F156</f>
        <v>0.12355520676433537</v>
      </c>
      <c r="I156" s="18"/>
      <c r="J156" s="18">
        <v>1.6183745583038869</v>
      </c>
      <c r="K156" s="18">
        <v>0.61790393013100442</v>
      </c>
      <c r="L156" s="18"/>
      <c r="N156" s="20">
        <v>4.0899999999999999E-2</v>
      </c>
      <c r="P156" s="18"/>
      <c r="Q156" s="18"/>
    </row>
    <row r="157" spans="1:17" s="8" customFormat="1" x14ac:dyDescent="0.3">
      <c r="A157" s="8">
        <v>23</v>
      </c>
      <c r="B157" s="19">
        <v>45181</v>
      </c>
      <c r="C157" s="3"/>
      <c r="D157" s="8">
        <v>9.9</v>
      </c>
      <c r="E157" s="18">
        <v>0.20945959229526845</v>
      </c>
      <c r="F157" s="18">
        <v>1.7933823583724691</v>
      </c>
      <c r="H157" s="18">
        <f t="shared" si="4"/>
        <v>0.11679583626848949</v>
      </c>
      <c r="I157" s="18"/>
      <c r="J157" s="18">
        <v>1.588082901554404</v>
      </c>
      <c r="K157" s="18">
        <v>0.6296900489396412</v>
      </c>
      <c r="L157" s="18"/>
      <c r="N157" s="20">
        <v>4.5199999999999997E-2</v>
      </c>
      <c r="P157" s="18"/>
      <c r="Q157" s="18"/>
    </row>
    <row r="158" spans="1:17" s="8" customFormat="1" x14ac:dyDescent="0.3">
      <c r="A158" s="8">
        <v>23</v>
      </c>
      <c r="B158" s="19">
        <v>45181</v>
      </c>
      <c r="C158" s="3"/>
      <c r="D158" s="8">
        <v>20.2</v>
      </c>
      <c r="E158" s="18">
        <v>0.21591869866560714</v>
      </c>
      <c r="F158" s="18">
        <v>1.6312619604994565</v>
      </c>
      <c r="H158" s="18">
        <f t="shared" si="4"/>
        <v>0.13236298270542493</v>
      </c>
      <c r="I158" s="18"/>
      <c r="J158" s="18">
        <v>1.6573033707865168</v>
      </c>
      <c r="K158" s="18">
        <v>0.60338983050847461</v>
      </c>
      <c r="L158" s="18"/>
      <c r="M158" s="8">
        <v>20</v>
      </c>
      <c r="N158" s="22">
        <v>4.6899999999999997E-2</v>
      </c>
      <c r="P158" s="18"/>
      <c r="Q158" s="18"/>
    </row>
    <row r="159" spans="1:17" s="8" customFormat="1" x14ac:dyDescent="0.3">
      <c r="A159" s="8">
        <v>23</v>
      </c>
      <c r="B159" s="19">
        <v>45181</v>
      </c>
      <c r="C159" s="3"/>
      <c r="D159" s="8">
        <v>29.8</v>
      </c>
      <c r="E159" s="18">
        <v>0.11718664414757311</v>
      </c>
      <c r="F159" s="18">
        <v>0.84272465345224923</v>
      </c>
      <c r="H159" s="18">
        <f t="shared" si="4"/>
        <v>0.13905685999277959</v>
      </c>
      <c r="I159" s="18"/>
      <c r="J159" s="18">
        <v>1.6864864864864864</v>
      </c>
      <c r="K159" s="18">
        <v>0.59294871794871795</v>
      </c>
      <c r="L159" s="18"/>
      <c r="N159" s="20">
        <v>3.44E-2</v>
      </c>
      <c r="P159" s="18"/>
      <c r="Q159" s="18"/>
    </row>
    <row r="160" spans="1:17" s="8" customFormat="1" x14ac:dyDescent="0.3">
      <c r="A160" s="8">
        <v>23</v>
      </c>
      <c r="B160" s="19">
        <v>45181</v>
      </c>
      <c r="C160" s="3"/>
      <c r="D160" s="8">
        <v>40.299999999999997</v>
      </c>
      <c r="E160" s="18">
        <v>8.0277464888494965E-2</v>
      </c>
      <c r="F160" s="18">
        <v>0.76548221894269985</v>
      </c>
      <c r="H160" s="18">
        <f t="shared" si="4"/>
        <v>0.10487175652411089</v>
      </c>
      <c r="I160" s="18"/>
      <c r="J160" s="18">
        <v>1.5337423312883436</v>
      </c>
      <c r="K160" s="18">
        <v>0.65200000000000002</v>
      </c>
      <c r="L160" s="18"/>
      <c r="N160" s="20">
        <v>3.1399999999999997E-2</v>
      </c>
      <c r="P160" s="18"/>
      <c r="Q160" s="18"/>
    </row>
    <row r="161" spans="1:17" s="8" customFormat="1" x14ac:dyDescent="0.3">
      <c r="A161" s="8">
        <v>23</v>
      </c>
      <c r="B161" s="19">
        <v>45181</v>
      </c>
      <c r="C161" s="3"/>
      <c r="D161" s="8">
        <v>55.9</v>
      </c>
      <c r="E161" s="18">
        <v>1.1534118518461922E-2</v>
      </c>
      <c r="F161" s="18">
        <v>0.17837265711480024</v>
      </c>
      <c r="H161" s="18">
        <f t="shared" si="4"/>
        <v>6.466304143823226E-2</v>
      </c>
      <c r="I161" s="18"/>
      <c r="J161" s="18">
        <v>1.3415300546448088</v>
      </c>
      <c r="K161" s="18">
        <v>0.74541751527494904</v>
      </c>
      <c r="L161" s="18"/>
      <c r="N161" s="20">
        <v>2.1499999999999998E-2</v>
      </c>
      <c r="P161" s="18"/>
      <c r="Q161" s="18"/>
    </row>
    <row r="162" spans="1:17" x14ac:dyDescent="0.3">
      <c r="A162" s="8"/>
      <c r="B162" s="9"/>
      <c r="C162" s="3"/>
      <c r="D162" s="8"/>
      <c r="N162" s="20"/>
    </row>
    <row r="163" spans="1:17" s="8" customFormat="1" x14ac:dyDescent="0.3">
      <c r="A163" s="8">
        <v>25</v>
      </c>
      <c r="B163" s="19">
        <v>45182</v>
      </c>
      <c r="C163" s="3"/>
      <c r="D163" s="8">
        <v>2</v>
      </c>
      <c r="E163" s="18">
        <v>0.14579125807335866</v>
      </c>
      <c r="F163" s="18">
        <v>1.1773297196993695</v>
      </c>
      <c r="H163" s="18">
        <f t="shared" si="4"/>
        <v>0.12383213948815153</v>
      </c>
      <c r="I163" s="18"/>
      <c r="J163" s="18">
        <v>1.6196078431372547</v>
      </c>
      <c r="K163" s="18">
        <v>0.61743341404358354</v>
      </c>
      <c r="L163" s="18"/>
      <c r="N163" s="20">
        <v>4.1099999999999998E-2</v>
      </c>
      <c r="P163" s="18"/>
      <c r="Q163" s="18"/>
    </row>
    <row r="164" spans="1:17" s="8" customFormat="1" x14ac:dyDescent="0.3">
      <c r="A164" s="8">
        <v>25</v>
      </c>
      <c r="B164" s="19">
        <v>45182</v>
      </c>
      <c r="C164" s="3"/>
      <c r="D164" s="8">
        <v>10</v>
      </c>
      <c r="E164" s="18">
        <v>0.24821423051730054</v>
      </c>
      <c r="F164" s="18">
        <v>1.9258551408033779</v>
      </c>
      <c r="H164" s="18">
        <f t="shared" si="4"/>
        <v>0.12888520286824739</v>
      </c>
      <c r="I164" s="18"/>
      <c r="J164" s="18">
        <v>1.6420047732696896</v>
      </c>
      <c r="K164" s="18">
        <v>0.60901162790697672</v>
      </c>
      <c r="L164" s="18"/>
      <c r="M164" s="8">
        <v>10</v>
      </c>
      <c r="N164" s="20">
        <v>4.0300000000000002E-2</v>
      </c>
      <c r="P164" s="18"/>
      <c r="Q164" s="18"/>
    </row>
    <row r="165" spans="1:17" s="8" customFormat="1" x14ac:dyDescent="0.3">
      <c r="A165" s="8">
        <v>25</v>
      </c>
      <c r="B165" s="19">
        <v>45182</v>
      </c>
      <c r="C165" s="3"/>
      <c r="D165" s="8">
        <v>20</v>
      </c>
      <c r="E165" s="18">
        <v>0.24083239466548492</v>
      </c>
      <c r="F165" s="18">
        <v>1.6841789102509155</v>
      </c>
      <c r="H165" s="18">
        <f t="shared" si="4"/>
        <v>0.14299691867629716</v>
      </c>
      <c r="I165" s="18"/>
      <c r="J165" s="18">
        <v>1.7035040431266846</v>
      </c>
      <c r="K165" s="18">
        <v>0.58702531645569622</v>
      </c>
      <c r="L165" s="18"/>
      <c r="N165" s="22">
        <v>4.5100000000000001E-2</v>
      </c>
      <c r="P165" s="18"/>
      <c r="Q165" s="18"/>
    </row>
    <row r="166" spans="1:17" s="8" customFormat="1" x14ac:dyDescent="0.3">
      <c r="A166" s="8">
        <v>25</v>
      </c>
      <c r="B166" s="19">
        <v>45182</v>
      </c>
      <c r="C166" s="3"/>
      <c r="D166" s="8">
        <v>29</v>
      </c>
      <c r="E166" s="18">
        <v>8.9504759703264505E-2</v>
      </c>
      <c r="F166" s="18">
        <v>0.66285814922632591</v>
      </c>
      <c r="H166" s="18">
        <f t="shared" si="4"/>
        <v>0.1350285273066833</v>
      </c>
      <c r="I166" s="18"/>
      <c r="J166" s="18">
        <v>1.6689655172413793</v>
      </c>
      <c r="K166" s="18">
        <v>0.59917355371900827</v>
      </c>
      <c r="L166" s="18"/>
      <c r="N166" s="20">
        <v>3.3000000000000002E-2</v>
      </c>
      <c r="P166" s="18"/>
      <c r="Q166" s="18"/>
    </row>
    <row r="167" spans="1:17" s="8" customFormat="1" x14ac:dyDescent="0.3">
      <c r="A167" s="8">
        <v>25</v>
      </c>
      <c r="B167" s="19">
        <v>45182</v>
      </c>
      <c r="C167" s="3"/>
      <c r="D167" s="8">
        <v>40</v>
      </c>
      <c r="E167" s="18">
        <v>4.1799645510906008E-2</v>
      </c>
      <c r="F167" s="18">
        <v>0.37174051891453097</v>
      </c>
      <c r="H167" s="18">
        <f t="shared" si="4"/>
        <v>0.11244307086286821</v>
      </c>
      <c r="I167" s="18"/>
      <c r="J167" s="18">
        <v>1.5683814303638646</v>
      </c>
      <c r="K167" s="18">
        <v>0.63759999999999994</v>
      </c>
      <c r="L167" s="18"/>
      <c r="N167" s="20">
        <v>2.5600000000000001E-2</v>
      </c>
      <c r="P167" s="18"/>
      <c r="Q167" s="18"/>
    </row>
    <row r="168" spans="1:17" s="8" customFormat="1" x14ac:dyDescent="0.3">
      <c r="A168" s="8">
        <v>25</v>
      </c>
      <c r="B168" s="19">
        <v>45182</v>
      </c>
      <c r="C168" s="3"/>
      <c r="D168" s="8">
        <v>55</v>
      </c>
      <c r="E168" s="18">
        <v>1.1257299674018832E-2</v>
      </c>
      <c r="F168" s="18">
        <v>0.15737576612054457</v>
      </c>
      <c r="H168" s="18">
        <f t="shared" si="4"/>
        <v>7.1531341524311412E-2</v>
      </c>
      <c r="I168" s="18"/>
      <c r="J168" s="18">
        <v>1.3753846153846152</v>
      </c>
      <c r="K168" s="18">
        <v>0.72706935123042504</v>
      </c>
      <c r="L168" s="18"/>
      <c r="N168" s="20">
        <v>2.1000000000000001E-2</v>
      </c>
      <c r="P168" s="18"/>
      <c r="Q168" s="18"/>
    </row>
    <row r="169" spans="1:17" s="8" customFormat="1" x14ac:dyDescent="0.3">
      <c r="B169" s="19"/>
      <c r="C169" s="3"/>
      <c r="E169" s="18"/>
      <c r="F169" s="18"/>
      <c r="H169" s="18"/>
      <c r="I169" s="18"/>
      <c r="J169" s="18"/>
      <c r="K169" s="18"/>
      <c r="L169" s="18"/>
      <c r="N169" s="20"/>
      <c r="P169" s="18"/>
      <c r="Q169" s="18"/>
    </row>
    <row r="170" spans="1:17" s="8" customFormat="1" x14ac:dyDescent="0.3">
      <c r="A170" s="8">
        <v>26</v>
      </c>
      <c r="B170" s="19">
        <v>45183</v>
      </c>
      <c r="C170" s="3"/>
      <c r="D170" s="8">
        <v>1.9</v>
      </c>
      <c r="E170" s="18">
        <v>0.33033715436874939</v>
      </c>
      <c r="F170" s="18">
        <v>2.5078870606966714</v>
      </c>
      <c r="H170" s="18">
        <f t="shared" si="4"/>
        <v>0.13171931046886309</v>
      </c>
      <c r="I170" s="18"/>
      <c r="J170" s="18">
        <v>1.6544789762340035</v>
      </c>
      <c r="K170" s="18">
        <v>0.60441988950276249</v>
      </c>
      <c r="L170" s="18"/>
      <c r="N170" s="23">
        <v>5.2600000000000001E-2</v>
      </c>
      <c r="P170" s="18"/>
      <c r="Q170" s="18"/>
    </row>
    <row r="171" spans="1:17" s="8" customFormat="1" x14ac:dyDescent="0.3">
      <c r="A171" s="8">
        <v>26</v>
      </c>
      <c r="B171" s="19">
        <v>45183</v>
      </c>
      <c r="C171" s="3"/>
      <c r="D171" s="8">
        <v>10.4</v>
      </c>
      <c r="E171" s="18">
        <v>0.36263268622044276</v>
      </c>
      <c r="F171" s="18">
        <v>2.4288931413941754</v>
      </c>
      <c r="H171" s="18">
        <f t="shared" si="4"/>
        <v>0.14929956367380287</v>
      </c>
      <c r="I171" s="18"/>
      <c r="J171" s="18">
        <v>1.7304832713754648</v>
      </c>
      <c r="K171" s="18">
        <v>0.57787325456498384</v>
      </c>
      <c r="L171" s="18"/>
      <c r="N171" s="23">
        <v>5.2600000000000001E-2</v>
      </c>
      <c r="P171" s="18"/>
      <c r="Q171" s="18"/>
    </row>
    <row r="172" spans="1:17" s="8" customFormat="1" x14ac:dyDescent="0.3">
      <c r="A172" s="8">
        <v>26</v>
      </c>
      <c r="B172" s="19">
        <v>45183</v>
      </c>
      <c r="C172" s="3"/>
      <c r="D172" s="8">
        <v>20.2</v>
      </c>
      <c r="E172" s="18">
        <v>0.41430553718315222</v>
      </c>
      <c r="F172" s="18">
        <v>2.7559960997546393</v>
      </c>
      <c r="H172" s="18">
        <f t="shared" si="4"/>
        <v>0.15032878211258607</v>
      </c>
      <c r="I172" s="18"/>
      <c r="J172" s="18">
        <v>1.7348608837970541</v>
      </c>
      <c r="K172" s="18">
        <v>0.57641509433962268</v>
      </c>
      <c r="L172" s="18"/>
      <c r="M172" s="8">
        <v>20</v>
      </c>
      <c r="N172" s="22">
        <v>5.3699999999999998E-2</v>
      </c>
      <c r="P172" s="18"/>
      <c r="Q172" s="18"/>
    </row>
    <row r="173" spans="1:17" s="8" customFormat="1" x14ac:dyDescent="0.3">
      <c r="A173" s="8">
        <v>26</v>
      </c>
      <c r="B173" s="19">
        <v>45183</v>
      </c>
      <c r="C173" s="3"/>
      <c r="D173" s="8">
        <v>29.8</v>
      </c>
      <c r="E173" s="18">
        <v>9.5963866073603202E-2</v>
      </c>
      <c r="F173" s="18">
        <v>0.87432485095973056</v>
      </c>
      <c r="H173" s="18">
        <f t="shared" si="4"/>
        <v>0.10975767870290476</v>
      </c>
      <c r="I173" s="18"/>
      <c r="J173" s="18">
        <v>1.5561497326203211</v>
      </c>
      <c r="K173" s="18">
        <v>0.64261168384879719</v>
      </c>
      <c r="L173" s="18"/>
      <c r="N173" s="23">
        <v>3.8399999999999997E-2</v>
      </c>
      <c r="P173" s="18"/>
      <c r="Q173" s="18"/>
    </row>
    <row r="174" spans="1:17" s="8" customFormat="1" x14ac:dyDescent="0.3">
      <c r="A174" s="8">
        <v>26</v>
      </c>
      <c r="B174" s="19">
        <v>45183</v>
      </c>
      <c r="C174" s="3"/>
      <c r="D174" s="8">
        <v>40</v>
      </c>
      <c r="E174" s="18">
        <v>2.4452331259139277E-2</v>
      </c>
      <c r="F174" s="18">
        <v>0.27286073551096784</v>
      </c>
      <c r="H174" s="18">
        <f t="shared" si="4"/>
        <v>8.9614693786370728E-2</v>
      </c>
      <c r="I174" s="18"/>
      <c r="J174" s="18">
        <v>1.462478184991274</v>
      </c>
      <c r="K174" s="18">
        <v>0.68377088305489264</v>
      </c>
      <c r="L174" s="18"/>
      <c r="N174" s="23">
        <v>2.5600000000000001E-2</v>
      </c>
      <c r="P174" s="18"/>
      <c r="Q174" s="18"/>
    </row>
    <row r="175" spans="1:17" s="8" customFormat="1" x14ac:dyDescent="0.3">
      <c r="A175" s="8">
        <v>26</v>
      </c>
      <c r="B175" s="19">
        <v>45183</v>
      </c>
      <c r="C175" s="3"/>
      <c r="D175" s="8">
        <v>55</v>
      </c>
      <c r="E175" s="18">
        <v>1.19954832592004E-2</v>
      </c>
      <c r="F175" s="18">
        <v>0.15144887281860719</v>
      </c>
      <c r="H175" s="18">
        <f t="shared" si="4"/>
        <v>7.9204836826798894E-2</v>
      </c>
      <c r="I175" s="18"/>
      <c r="J175" s="18">
        <v>1.4126984126984128</v>
      </c>
      <c r="K175" s="18">
        <v>0.7078651685393258</v>
      </c>
      <c r="L175" s="18"/>
      <c r="N175" s="23">
        <v>2.0899999999999998E-2</v>
      </c>
      <c r="P175" s="18"/>
      <c r="Q175" s="18"/>
    </row>
    <row r="176" spans="1:17" s="8" customFormat="1" x14ac:dyDescent="0.3">
      <c r="B176" s="19"/>
      <c r="C176" s="3"/>
      <c r="E176" s="18"/>
      <c r="F176" s="18"/>
      <c r="H176" s="18"/>
      <c r="I176" s="18"/>
      <c r="J176" s="18"/>
      <c r="K176" s="18"/>
      <c r="L176" s="18"/>
      <c r="N176" s="20"/>
      <c r="P176" s="18"/>
      <c r="Q176" s="18"/>
    </row>
    <row r="177" spans="1:17" s="8" customFormat="1" x14ac:dyDescent="0.3">
      <c r="A177" s="8">
        <v>27</v>
      </c>
      <c r="B177" s="19">
        <v>45183</v>
      </c>
      <c r="C177" s="3"/>
      <c r="D177" s="8">
        <v>2.4</v>
      </c>
      <c r="E177" s="18">
        <v>0.30542345836887175</v>
      </c>
      <c r="F177" s="18">
        <v>2.460158820661968</v>
      </c>
      <c r="H177" s="18">
        <f t="shared" si="4"/>
        <v>0.12414786224520652</v>
      </c>
      <c r="I177" s="18"/>
      <c r="J177" s="18">
        <v>1.6210131332082554</v>
      </c>
      <c r="K177" s="18">
        <v>0.61689814814814803</v>
      </c>
      <c r="L177" s="18"/>
      <c r="N177" s="20">
        <v>5.4600000000000003E-2</v>
      </c>
      <c r="P177" s="18"/>
      <c r="Q177" s="18"/>
    </row>
    <row r="178" spans="1:17" x14ac:dyDescent="0.3">
      <c r="A178" s="8">
        <v>27</v>
      </c>
      <c r="B178" s="9">
        <v>45183</v>
      </c>
      <c r="C178" s="3"/>
      <c r="D178" s="8">
        <v>9.9</v>
      </c>
      <c r="E178" s="10">
        <v>0.39677367703509009</v>
      </c>
      <c r="F178" s="10">
        <v>2.9758876388561775</v>
      </c>
      <c r="H178" s="10">
        <f t="shared" si="4"/>
        <v>0.13332952220857217</v>
      </c>
      <c r="J178" s="10">
        <v>1.6615384615384616</v>
      </c>
      <c r="K178" s="10">
        <v>0.60185185185185186</v>
      </c>
      <c r="N178" s="20">
        <v>5.67E-2</v>
      </c>
    </row>
    <row r="179" spans="1:17" x14ac:dyDescent="0.3">
      <c r="A179" s="8">
        <v>27</v>
      </c>
      <c r="B179" s="9">
        <v>45183</v>
      </c>
      <c r="C179" s="3"/>
      <c r="D179" s="8">
        <v>19.899999999999999</v>
      </c>
      <c r="E179" s="10">
        <v>0.42630102044235263</v>
      </c>
      <c r="F179" s="10">
        <v>3.0397570703505195</v>
      </c>
      <c r="H179" s="10">
        <f t="shared" si="4"/>
        <v>0.14024180570232053</v>
      </c>
      <c r="J179" s="10">
        <v>1.691616766467066</v>
      </c>
      <c r="K179" s="10">
        <v>0.59115044247787607</v>
      </c>
      <c r="M179">
        <v>20</v>
      </c>
      <c r="N179" s="22">
        <v>6.13E-2</v>
      </c>
    </row>
    <row r="180" spans="1:17" x14ac:dyDescent="0.3">
      <c r="A180" s="8">
        <v>27</v>
      </c>
      <c r="B180" s="9">
        <v>45183</v>
      </c>
      <c r="C180" s="3"/>
      <c r="D180" s="8">
        <v>29.6</v>
      </c>
      <c r="E180" s="10">
        <v>0.19561865007311419</v>
      </c>
      <c r="F180" s="10">
        <v>1.2987297483525553</v>
      </c>
      <c r="H180" s="10">
        <f t="shared" si="4"/>
        <v>0.1506230609726599</v>
      </c>
      <c r="J180" s="10">
        <v>1.7361111111111112</v>
      </c>
      <c r="K180" s="10">
        <v>0.57600000000000007</v>
      </c>
      <c r="N180" s="20">
        <v>4.7699999999999999E-2</v>
      </c>
    </row>
    <row r="181" spans="1:17" x14ac:dyDescent="0.3">
      <c r="A181" s="8">
        <v>27</v>
      </c>
      <c r="B181" s="9">
        <v>45183</v>
      </c>
      <c r="C181" s="3"/>
      <c r="D181" s="8">
        <v>40.1</v>
      </c>
      <c r="E181" s="10">
        <v>5.8131957333048073E-2</v>
      </c>
      <c r="F181" s="10">
        <v>0.49187127264306624</v>
      </c>
      <c r="H181" s="10">
        <f t="shared" si="4"/>
        <v>0.11818530694154281</v>
      </c>
      <c r="J181" s="10">
        <v>1.5943396226415094</v>
      </c>
      <c r="K181" s="10">
        <v>0.62721893491124259</v>
      </c>
      <c r="N181" s="20">
        <v>2.8899999999999999E-2</v>
      </c>
    </row>
    <row r="182" spans="1:17" x14ac:dyDescent="0.3">
      <c r="A182" s="8">
        <v>27</v>
      </c>
      <c r="B182" s="9">
        <v>45183</v>
      </c>
      <c r="C182" s="3"/>
      <c r="D182" s="8">
        <v>55</v>
      </c>
      <c r="E182" s="10">
        <v>1.5409582340665126E-2</v>
      </c>
      <c r="F182" s="10">
        <v>0.17916703203767725</v>
      </c>
      <c r="H182" s="10">
        <f t="shared" si="4"/>
        <v>8.6006795811768691E-2</v>
      </c>
      <c r="J182" s="10">
        <v>1.4453333333333334</v>
      </c>
      <c r="K182" s="10">
        <v>0.69188191881918815</v>
      </c>
      <c r="N182" s="20">
        <v>2.0899999999999998E-2</v>
      </c>
    </row>
    <row r="183" spans="1:17" x14ac:dyDescent="0.3">
      <c r="A183" s="8"/>
      <c r="B183" s="9"/>
      <c r="C183" s="3"/>
      <c r="D183" s="8"/>
      <c r="E183" s="18"/>
      <c r="F183" s="18"/>
      <c r="G183" s="8"/>
      <c r="H183" s="18"/>
      <c r="I183" s="18"/>
      <c r="J183" s="18"/>
      <c r="K183" s="18"/>
      <c r="L183" s="18"/>
      <c r="M183" s="8"/>
      <c r="N183" s="23"/>
      <c r="O183" s="8"/>
      <c r="P183" s="18"/>
    </row>
    <row r="184" spans="1:17" s="8" customFormat="1" x14ac:dyDescent="0.3">
      <c r="A184" s="8">
        <v>30</v>
      </c>
      <c r="B184" s="19">
        <v>45185</v>
      </c>
      <c r="C184" s="3"/>
      <c r="D184" s="8">
        <v>2.4</v>
      </c>
      <c r="E184" s="18">
        <v>0.25375060740616229</v>
      </c>
      <c r="F184" s="18">
        <v>2.1589994108852828</v>
      </c>
      <c r="H184" s="18">
        <f t="shared" si="4"/>
        <v>0.11753157788130827</v>
      </c>
      <c r="I184" s="18"/>
      <c r="J184" s="18">
        <v>1.5913978494623655</v>
      </c>
      <c r="K184" s="18">
        <v>0.6283783783783784</v>
      </c>
      <c r="L184" s="18"/>
      <c r="N184" s="23">
        <v>5.0500000000000003E-2</v>
      </c>
      <c r="P184" s="18"/>
      <c r="Q184" s="18"/>
    </row>
    <row r="185" spans="1:17" s="8" customFormat="1" x14ac:dyDescent="0.3">
      <c r="A185" s="8">
        <v>30</v>
      </c>
      <c r="B185" s="19">
        <v>45185</v>
      </c>
      <c r="C185" s="3"/>
      <c r="D185" s="8">
        <v>19.600000000000001</v>
      </c>
      <c r="E185" s="18">
        <v>0.30080981096148685</v>
      </c>
      <c r="F185" s="18">
        <v>2.5270369846704224</v>
      </c>
      <c r="H185" s="18">
        <f t="shared" si="4"/>
        <v>0.11903656843420463</v>
      </c>
      <c r="I185" s="18"/>
      <c r="J185" s="18">
        <v>1.5981651376146788</v>
      </c>
      <c r="K185" s="18">
        <v>0.62571756601607353</v>
      </c>
      <c r="L185" s="18"/>
      <c r="M185" s="8">
        <v>20</v>
      </c>
      <c r="N185" s="23">
        <v>5.0299999999999997E-2</v>
      </c>
      <c r="P185" s="18"/>
      <c r="Q185" s="18"/>
    </row>
    <row r="186" spans="1:17" s="8" customFormat="1" x14ac:dyDescent="0.3">
      <c r="A186" s="8">
        <v>30</v>
      </c>
      <c r="B186" s="19">
        <v>45185</v>
      </c>
      <c r="C186" s="3"/>
      <c r="D186" s="8">
        <v>30.1</v>
      </c>
      <c r="E186" s="18">
        <v>0.27128246755422436</v>
      </c>
      <c r="F186" s="18">
        <v>1.8249562580151173</v>
      </c>
      <c r="H186" s="18">
        <f t="shared" si="4"/>
        <v>0.14865149033724245</v>
      </c>
      <c r="I186" s="18"/>
      <c r="J186" s="18">
        <v>1.7277227722772277</v>
      </c>
      <c r="K186" s="18">
        <v>0.57879656160458448</v>
      </c>
      <c r="L186" s="18"/>
      <c r="N186" s="22">
        <v>6.3399999999999998E-2</v>
      </c>
      <c r="P186" s="18"/>
      <c r="Q186" s="18"/>
    </row>
    <row r="187" spans="1:17" s="8" customFormat="1" x14ac:dyDescent="0.3">
      <c r="A187" s="8">
        <v>30</v>
      </c>
      <c r="B187" s="19">
        <v>45185</v>
      </c>
      <c r="C187" s="3"/>
      <c r="D187" s="8">
        <v>40.1</v>
      </c>
      <c r="E187" s="18">
        <v>0.11349572622166532</v>
      </c>
      <c r="F187" s="18">
        <v>0.83603815194464559</v>
      </c>
      <c r="H187" s="18">
        <f t="shared" si="4"/>
        <v>0.1357542427431947</v>
      </c>
      <c r="I187" s="18"/>
      <c r="J187" s="18">
        <v>1.6721311475409837</v>
      </c>
      <c r="K187" s="18">
        <v>0.59803921568627449</v>
      </c>
      <c r="L187" s="18"/>
      <c r="N187" s="23">
        <v>3.9399999999999998E-2</v>
      </c>
      <c r="P187" s="18"/>
      <c r="Q187" s="18"/>
    </row>
    <row r="188" spans="1:17" s="8" customFormat="1" x14ac:dyDescent="0.3">
      <c r="A188" s="8">
        <v>30</v>
      </c>
      <c r="B188" s="19">
        <v>45185</v>
      </c>
      <c r="C188" s="3"/>
      <c r="D188" s="8">
        <v>55.2</v>
      </c>
      <c r="E188" s="18">
        <v>2.8696886873933264E-2</v>
      </c>
      <c r="F188" s="18">
        <v>0.25460666366093321</v>
      </c>
      <c r="H188" s="18">
        <f t="shared" si="4"/>
        <v>0.11271066696097833</v>
      </c>
      <c r="I188" s="18"/>
      <c r="J188" s="18">
        <v>1.5695970695970696</v>
      </c>
      <c r="K188" s="18">
        <v>0.63710618436406063</v>
      </c>
      <c r="L188" s="18"/>
      <c r="N188" s="23">
        <v>2.4400000000000002E-2</v>
      </c>
      <c r="P188" s="18"/>
      <c r="Q188" s="18"/>
    </row>
    <row r="189" spans="1:17" s="8" customFormat="1" x14ac:dyDescent="0.3">
      <c r="B189" s="19"/>
      <c r="C189" s="3"/>
      <c r="E189" s="18"/>
      <c r="F189" s="18"/>
      <c r="H189" s="18"/>
      <c r="I189" s="18"/>
      <c r="J189" s="18"/>
      <c r="K189" s="18"/>
      <c r="L189" s="18"/>
      <c r="N189" s="20"/>
      <c r="P189" s="18"/>
      <c r="Q189" s="18"/>
    </row>
    <row r="190" spans="1:17" s="8" customFormat="1" x14ac:dyDescent="0.3">
      <c r="A190" s="8">
        <v>31</v>
      </c>
      <c r="B190" s="19">
        <v>45186</v>
      </c>
      <c r="C190" s="3"/>
      <c r="D190" s="8">
        <v>2.9</v>
      </c>
      <c r="E190" s="18">
        <v>0.31649621214659507</v>
      </c>
      <c r="F190" s="18">
        <v>2.3401231628323731</v>
      </c>
      <c r="H190" s="18">
        <f t="shared" si="4"/>
        <v>0.13524767293167733</v>
      </c>
      <c r="I190" s="18"/>
      <c r="J190" s="18">
        <v>1.669921875</v>
      </c>
      <c r="K190" s="18">
        <v>0.59883040935672516</v>
      </c>
      <c r="L190" s="18"/>
      <c r="N190" s="20">
        <v>5.7500000000000002E-2</v>
      </c>
      <c r="P190" s="18"/>
      <c r="Q190" s="18"/>
    </row>
    <row r="191" spans="1:17" s="8" customFormat="1" x14ac:dyDescent="0.3">
      <c r="A191" s="8">
        <v>31</v>
      </c>
      <c r="B191" s="19">
        <v>45186</v>
      </c>
      <c r="C191" s="3"/>
      <c r="D191" s="8">
        <v>9</v>
      </c>
      <c r="E191" s="18">
        <v>0.38293273481293577</v>
      </c>
      <c r="F191" s="18">
        <v>2.6420850300556933</v>
      </c>
      <c r="H191" s="18">
        <f t="shared" si="4"/>
        <v>0.14493581033796774</v>
      </c>
      <c r="I191" s="18"/>
      <c r="J191" s="18">
        <v>1.711835334476844</v>
      </c>
      <c r="K191" s="18">
        <v>0.58416833667334667</v>
      </c>
      <c r="L191" s="18"/>
      <c r="M191" s="8">
        <v>10</v>
      </c>
      <c r="N191" s="22">
        <v>6.1800000000000001E-2</v>
      </c>
      <c r="P191" s="18"/>
      <c r="Q191" s="18"/>
    </row>
    <row r="192" spans="1:17" s="8" customFormat="1" x14ac:dyDescent="0.3">
      <c r="A192" s="8">
        <v>31</v>
      </c>
      <c r="B192" s="19">
        <v>45186</v>
      </c>
      <c r="C192" s="3"/>
      <c r="D192" s="8">
        <v>19</v>
      </c>
      <c r="E192" s="18">
        <v>0.30726891733182554</v>
      </c>
      <c r="F192" s="18">
        <v>2.3752940062309214</v>
      </c>
      <c r="H192" s="18">
        <f t="shared" si="4"/>
        <v>0.12936037245317475</v>
      </c>
      <c r="I192" s="18"/>
      <c r="J192" s="18">
        <v>1.6441005802707929</v>
      </c>
      <c r="K192" s="18">
        <v>0.6082352941176471</v>
      </c>
      <c r="L192" s="18"/>
      <c r="N192" s="20">
        <v>5.9799999999999999E-2</v>
      </c>
      <c r="P192" s="18"/>
      <c r="Q192" s="18"/>
    </row>
    <row r="193" spans="1:19" s="8" customFormat="1" x14ac:dyDescent="0.3">
      <c r="A193" s="8">
        <v>31</v>
      </c>
      <c r="B193" s="19">
        <v>45186</v>
      </c>
      <c r="C193" s="3"/>
      <c r="D193" s="8">
        <v>29</v>
      </c>
      <c r="E193" s="18"/>
      <c r="F193" s="18"/>
      <c r="H193" s="26" t="s">
        <v>12</v>
      </c>
      <c r="I193" s="18"/>
      <c r="J193" s="18"/>
      <c r="K193" s="18"/>
      <c r="L193" s="18"/>
      <c r="N193" s="20">
        <v>5.5199999999999999E-2</v>
      </c>
      <c r="P193" s="18"/>
      <c r="Q193" s="18"/>
    </row>
    <row r="194" spans="1:19" s="8" customFormat="1" x14ac:dyDescent="0.3">
      <c r="A194" s="8">
        <v>31</v>
      </c>
      <c r="B194" s="19">
        <v>45186</v>
      </c>
      <c r="C194" s="3"/>
      <c r="D194" s="8">
        <v>40</v>
      </c>
      <c r="E194" s="18">
        <v>5.0750121481232438E-2</v>
      </c>
      <c r="F194" s="18">
        <v>0.54076278622892826</v>
      </c>
      <c r="H194" s="18">
        <f t="shared" si="4"/>
        <v>9.3849138242563385E-2</v>
      </c>
      <c r="I194" s="18"/>
      <c r="J194" s="18">
        <v>1.4824561403508769</v>
      </c>
      <c r="K194" s="18">
        <v>0.67455621301775159</v>
      </c>
      <c r="L194" s="18"/>
      <c r="N194" s="20">
        <v>3.3599999999999998E-2</v>
      </c>
      <c r="P194" s="18"/>
      <c r="Q194" s="18"/>
    </row>
    <row r="195" spans="1:19" s="8" customFormat="1" x14ac:dyDescent="0.3">
      <c r="A195" s="8">
        <v>31</v>
      </c>
      <c r="B195" s="19">
        <v>45186</v>
      </c>
      <c r="C195" s="3"/>
      <c r="D195" s="8">
        <v>55</v>
      </c>
      <c r="E195" s="18">
        <v>1.245684799993888E-2</v>
      </c>
      <c r="F195" s="18">
        <v>0.21065766982056039</v>
      </c>
      <c r="H195" s="18">
        <f t="shared" si="4"/>
        <v>5.9133132966626409E-2</v>
      </c>
      <c r="I195" s="18"/>
      <c r="J195" s="18">
        <v>1.3139534883720931</v>
      </c>
      <c r="K195" s="18">
        <v>0.76106194690265483</v>
      </c>
      <c r="L195" s="18"/>
      <c r="N195" s="20">
        <v>2.24E-2</v>
      </c>
      <c r="P195" s="18"/>
      <c r="Q195" s="18"/>
    </row>
    <row r="196" spans="1:19" s="8" customFormat="1" x14ac:dyDescent="0.3">
      <c r="B196" s="19"/>
      <c r="C196" s="3"/>
      <c r="E196" s="18"/>
      <c r="F196" s="18"/>
      <c r="H196" s="18"/>
      <c r="I196" s="18"/>
      <c r="J196" s="18"/>
      <c r="K196" s="18"/>
      <c r="L196" s="18"/>
      <c r="N196" s="20"/>
      <c r="P196" s="18"/>
      <c r="Q196" s="18"/>
    </row>
    <row r="197" spans="1:19" s="8" customFormat="1" x14ac:dyDescent="0.3">
      <c r="A197" s="8">
        <v>32</v>
      </c>
      <c r="B197" s="19">
        <v>45186</v>
      </c>
      <c r="C197" s="3"/>
      <c r="D197" s="8">
        <v>3.2</v>
      </c>
      <c r="E197" s="18">
        <v>2.4913695999877743E-2</v>
      </c>
      <c r="F197" s="18">
        <v>0.33829598417302797</v>
      </c>
      <c r="H197" s="18">
        <f t="shared" si="4"/>
        <v>7.3644669654532924E-2</v>
      </c>
      <c r="I197" s="18"/>
      <c r="J197" s="18">
        <v>1.3857142857142857</v>
      </c>
      <c r="K197" s="18">
        <v>0.72164948453608257</v>
      </c>
      <c r="L197" s="18"/>
      <c r="N197" s="23">
        <v>4.3900000000000002E-2</v>
      </c>
      <c r="P197" s="18"/>
      <c r="Q197" s="18"/>
      <c r="R197" s="18"/>
      <c r="S197" s="18"/>
    </row>
    <row r="198" spans="1:19" s="8" customFormat="1" x14ac:dyDescent="0.3">
      <c r="A198" s="8">
        <v>32</v>
      </c>
      <c r="B198" s="19">
        <v>45186</v>
      </c>
      <c r="C198" s="3"/>
      <c r="D198" s="8">
        <v>10.1</v>
      </c>
      <c r="E198" s="18">
        <v>5.3518309925663303E-2</v>
      </c>
      <c r="F198" s="18">
        <v>0.60025911438556701</v>
      </c>
      <c r="H198" s="18">
        <f t="shared" si="4"/>
        <v>8.9158679382062095E-2</v>
      </c>
      <c r="I198" s="18"/>
      <c r="J198" s="18">
        <v>1.4603174603174602</v>
      </c>
      <c r="K198" s="18">
        <v>0.68478260869565222</v>
      </c>
      <c r="L198" s="18"/>
      <c r="N198" s="23">
        <v>5.04E-2</v>
      </c>
      <c r="P198" s="18"/>
      <c r="Q198" s="18"/>
      <c r="R198" s="18"/>
      <c r="S198" s="18"/>
    </row>
    <row r="199" spans="1:19" s="8" customFormat="1" x14ac:dyDescent="0.3">
      <c r="A199" s="8">
        <v>32</v>
      </c>
      <c r="B199" s="19">
        <v>45186</v>
      </c>
      <c r="C199" s="3"/>
      <c r="D199" s="8">
        <v>20</v>
      </c>
      <c r="E199" s="18">
        <v>0.13840942222154307</v>
      </c>
      <c r="F199" s="18">
        <v>1.1795228458344289</v>
      </c>
      <c r="H199" s="18">
        <f t="shared" si="4"/>
        <v>0.11734357050424758</v>
      </c>
      <c r="I199" s="18"/>
      <c r="J199" s="18">
        <v>1.5905511811023623</v>
      </c>
      <c r="K199" s="18">
        <v>0.62871287128712872</v>
      </c>
      <c r="L199" s="18"/>
      <c r="M199" s="8">
        <v>20</v>
      </c>
      <c r="N199" s="22">
        <v>7.0699999999999999E-2</v>
      </c>
      <c r="P199" s="18"/>
      <c r="Q199" s="18"/>
      <c r="R199" s="18"/>
      <c r="S199" s="18"/>
    </row>
    <row r="200" spans="1:19" s="8" customFormat="1" x14ac:dyDescent="0.3">
      <c r="A200" s="8">
        <v>32</v>
      </c>
      <c r="B200" s="19">
        <v>45186</v>
      </c>
      <c r="C200" s="3"/>
      <c r="D200" s="8">
        <v>29.8</v>
      </c>
      <c r="E200" s="18">
        <v>0.19654137955459111</v>
      </c>
      <c r="F200" s="18">
        <v>1.7284699253618094</v>
      </c>
      <c r="H200" s="18">
        <f t="shared" si="4"/>
        <v>0.11370830158554848</v>
      </c>
      <c r="I200" s="18"/>
      <c r="J200" s="18">
        <v>1.5741239892183287</v>
      </c>
      <c r="K200" s="18">
        <v>0.63527397260273977</v>
      </c>
      <c r="L200" s="18"/>
      <c r="N200" s="23">
        <v>4.5900000000000003E-2</v>
      </c>
      <c r="P200" s="18"/>
      <c r="Q200" s="18"/>
      <c r="R200" s="18"/>
      <c r="S200" s="18"/>
    </row>
    <row r="201" spans="1:19" s="8" customFormat="1" x14ac:dyDescent="0.3">
      <c r="A201" s="8">
        <v>32</v>
      </c>
      <c r="B201" s="19">
        <v>45186</v>
      </c>
      <c r="C201" s="3"/>
      <c r="D201" s="8">
        <v>40.299999999999997</v>
      </c>
      <c r="E201" s="18">
        <v>0.43368285629416825</v>
      </c>
      <c r="F201" s="18">
        <v>2.7314300709268675</v>
      </c>
      <c r="H201" s="18">
        <f t="shared" si="4"/>
        <v>0.15877501712756822</v>
      </c>
      <c r="I201" s="18"/>
      <c r="J201" s="18">
        <v>1.7704918032786885</v>
      </c>
      <c r="K201" s="18">
        <v>0.56481481481481477</v>
      </c>
      <c r="L201" s="18"/>
      <c r="N201" s="23">
        <v>3.0099999999999998E-2</v>
      </c>
      <c r="P201" s="18"/>
      <c r="Q201" s="18"/>
      <c r="R201" s="18"/>
      <c r="S201" s="18"/>
    </row>
    <row r="202" spans="1:19" s="8" customFormat="1" x14ac:dyDescent="0.3">
      <c r="A202" s="8">
        <v>32</v>
      </c>
      <c r="B202" s="19">
        <v>45186</v>
      </c>
      <c r="C202" s="3"/>
      <c r="D202" s="8">
        <v>55</v>
      </c>
      <c r="E202" s="18">
        <v>0.23068237036923842</v>
      </c>
      <c r="F202" s="18">
        <v>1.8188579677493013</v>
      </c>
      <c r="H202" s="18">
        <f t="shared" si="4"/>
        <v>0.12682813856801053</v>
      </c>
      <c r="I202" s="18"/>
      <c r="J202" s="18">
        <v>1.6329113924050633</v>
      </c>
      <c r="K202" s="18">
        <v>0.61240310077519378</v>
      </c>
      <c r="L202" s="18"/>
      <c r="N202" s="23">
        <v>2.4E-2</v>
      </c>
      <c r="P202" s="18"/>
      <c r="Q202" s="18"/>
      <c r="R202" s="18"/>
      <c r="S202" s="18"/>
    </row>
    <row r="203" spans="1:19" s="8" customFormat="1" x14ac:dyDescent="0.3">
      <c r="B203" s="19"/>
      <c r="C203" s="3"/>
      <c r="E203" s="18"/>
      <c r="F203" s="18"/>
      <c r="H203" s="18"/>
      <c r="I203" s="18"/>
      <c r="J203" s="18"/>
      <c r="K203" s="18"/>
      <c r="L203" s="18"/>
      <c r="N203" s="20"/>
      <c r="P203" s="18"/>
      <c r="Q203" s="18"/>
    </row>
    <row r="204" spans="1:19" s="8" customFormat="1" x14ac:dyDescent="0.3">
      <c r="A204" s="8">
        <v>33</v>
      </c>
      <c r="B204" s="19">
        <v>45187</v>
      </c>
      <c r="C204" s="3"/>
      <c r="D204" s="8">
        <v>2.5</v>
      </c>
      <c r="E204" s="18">
        <v>0.15686401185108217</v>
      </c>
      <c r="F204" s="18">
        <v>1.4101263226091683</v>
      </c>
      <c r="H204" s="18">
        <f t="shared" si="4"/>
        <v>0.1112411060881662</v>
      </c>
      <c r="I204" s="18"/>
      <c r="J204" s="18">
        <v>1.5629139072847684</v>
      </c>
      <c r="K204" s="18">
        <v>0.63983050847457623</v>
      </c>
      <c r="L204" s="18"/>
      <c r="N204" s="20">
        <v>4.5999999999999999E-2</v>
      </c>
      <c r="P204" s="18"/>
      <c r="Q204" s="18"/>
    </row>
    <row r="205" spans="1:19" s="8" customFormat="1" x14ac:dyDescent="0.3">
      <c r="A205" s="8">
        <v>33</v>
      </c>
      <c r="B205" s="19">
        <v>45187</v>
      </c>
      <c r="C205" s="3"/>
      <c r="D205" s="8">
        <v>9.9</v>
      </c>
      <c r="E205" s="18">
        <v>0.24821423051730054</v>
      </c>
      <c r="F205" s="18">
        <v>1.7286841715666581</v>
      </c>
      <c r="H205" s="18">
        <f t="shared" si="4"/>
        <v>0.143585644272054</v>
      </c>
      <c r="I205" s="18"/>
      <c r="J205" s="18">
        <v>1.7060367454068242</v>
      </c>
      <c r="K205" s="18">
        <v>0.58615384615384614</v>
      </c>
      <c r="L205" s="18"/>
      <c r="M205" s="8">
        <v>10</v>
      </c>
      <c r="N205" s="22">
        <v>5.5100000000000003E-2</v>
      </c>
      <c r="P205" s="18"/>
      <c r="Q205" s="18"/>
    </row>
    <row r="206" spans="1:19" s="8" customFormat="1" x14ac:dyDescent="0.3">
      <c r="A206" s="8">
        <v>33</v>
      </c>
      <c r="B206" s="19">
        <v>45187</v>
      </c>
      <c r="C206" s="3"/>
      <c r="D206" s="8">
        <v>19</v>
      </c>
      <c r="E206" s="18">
        <v>0.13379577481415827</v>
      </c>
      <c r="F206" s="18">
        <v>0.98177681428833796</v>
      </c>
      <c r="H206" s="18">
        <f t="shared" si="4"/>
        <v>0.1362792162810883</v>
      </c>
      <c r="I206" s="18"/>
      <c r="J206" s="18">
        <v>1.6744186046511629</v>
      </c>
      <c r="K206" s="18">
        <v>0.59722222222222221</v>
      </c>
      <c r="L206" s="18"/>
      <c r="N206" s="20">
        <v>4.7300000000000002E-2</v>
      </c>
      <c r="P206" s="18"/>
      <c r="Q206" s="18"/>
    </row>
    <row r="207" spans="1:19" s="8" customFormat="1" x14ac:dyDescent="0.3">
      <c r="A207" s="8">
        <v>33</v>
      </c>
      <c r="B207" s="19">
        <v>45187</v>
      </c>
      <c r="C207" s="3"/>
      <c r="D207" s="8">
        <v>30</v>
      </c>
      <c r="E207" s="18">
        <v>5.2595580444186357E-2</v>
      </c>
      <c r="F207" s="18">
        <v>0.59599313415028821</v>
      </c>
      <c r="H207" s="18">
        <f t="shared" si="4"/>
        <v>8.8248634808809109E-2</v>
      </c>
      <c r="I207" s="18"/>
      <c r="J207" s="18">
        <v>1.456</v>
      </c>
      <c r="K207" s="18">
        <v>0.68681318681318682</v>
      </c>
      <c r="L207" s="18"/>
      <c r="N207" s="20">
        <v>4.0800000000000003E-2</v>
      </c>
      <c r="P207" s="18"/>
      <c r="Q207" s="18"/>
    </row>
    <row r="208" spans="1:19" s="8" customFormat="1" x14ac:dyDescent="0.3">
      <c r="A208" s="8">
        <v>33</v>
      </c>
      <c r="B208" s="19">
        <v>45187</v>
      </c>
      <c r="C208" s="3"/>
      <c r="D208" s="8">
        <v>39</v>
      </c>
      <c r="E208" s="18">
        <v>4.2445556147939864E-2</v>
      </c>
      <c r="F208" s="18">
        <v>0.58538831957951143</v>
      </c>
      <c r="H208" s="18">
        <f t="shared" si="4"/>
        <v>7.2508375600027014E-2</v>
      </c>
      <c r="I208" s="18"/>
      <c r="J208" s="18">
        <v>1.3801652892561984</v>
      </c>
      <c r="K208" s="18">
        <v>0.72455089820359286</v>
      </c>
      <c r="L208" s="18"/>
      <c r="N208" s="20">
        <v>3.0099999999999998E-2</v>
      </c>
      <c r="P208" s="18"/>
      <c r="Q208" s="18"/>
    </row>
    <row r="209" spans="1:17" s="8" customFormat="1" x14ac:dyDescent="0.3">
      <c r="A209" s="8">
        <v>33</v>
      </c>
      <c r="B209" s="19">
        <v>45187</v>
      </c>
      <c r="C209" s="3"/>
      <c r="D209" s="8">
        <v>55</v>
      </c>
      <c r="E209" s="18">
        <v>2.1499596918413022E-2</v>
      </c>
      <c r="F209" s="18">
        <v>0.31576653467071381</v>
      </c>
      <c r="H209" s="18">
        <f t="shared" si="4"/>
        <v>6.8087002762446419E-2</v>
      </c>
      <c r="I209" s="18"/>
      <c r="J209" s="18">
        <v>1.3584615384615384</v>
      </c>
      <c r="K209" s="18">
        <v>0.73612684031710074</v>
      </c>
      <c r="L209" s="18"/>
      <c r="N209" s="20">
        <v>2.4899999999999999E-2</v>
      </c>
      <c r="P209" s="18"/>
      <c r="Q209" s="18"/>
    </row>
    <row r="210" spans="1:17" s="8" customFormat="1" x14ac:dyDescent="0.3">
      <c r="B210" s="19"/>
      <c r="C210" s="3"/>
      <c r="E210" s="18"/>
      <c r="F210" s="18"/>
      <c r="H210" s="18"/>
      <c r="I210" s="18"/>
      <c r="J210" s="18"/>
      <c r="K210" s="18"/>
      <c r="L210" s="18"/>
      <c r="N210" s="20"/>
      <c r="P210" s="18"/>
      <c r="Q210" s="18"/>
    </row>
    <row r="211" spans="1:17" s="8" customFormat="1" x14ac:dyDescent="0.3">
      <c r="A211" s="8">
        <v>34</v>
      </c>
      <c r="B211" s="19">
        <v>45187</v>
      </c>
      <c r="C211" s="3"/>
      <c r="D211" s="8">
        <v>2.7</v>
      </c>
      <c r="E211" s="18">
        <v>0.17808678992505203</v>
      </c>
      <c r="F211" s="18">
        <v>1.8040003218756624</v>
      </c>
      <c r="H211" s="18">
        <f t="shared" si="4"/>
        <v>9.8717715160876976E-2</v>
      </c>
      <c r="I211" s="18"/>
      <c r="J211" s="18">
        <v>1.5052356020942408</v>
      </c>
      <c r="K211" s="18">
        <v>0.66434782608695653</v>
      </c>
      <c r="L211" s="18"/>
      <c r="N211" s="20">
        <v>4.2599999999999999E-2</v>
      </c>
      <c r="P211" s="18"/>
      <c r="Q211" s="18"/>
    </row>
    <row r="212" spans="1:17" s="8" customFormat="1" x14ac:dyDescent="0.3">
      <c r="A212" s="8">
        <v>34</v>
      </c>
      <c r="B212" s="19">
        <v>45187</v>
      </c>
      <c r="C212" s="3"/>
      <c r="D212" s="8">
        <v>10</v>
      </c>
      <c r="E212" s="18">
        <v>0.23714147673957714</v>
      </c>
      <c r="F212" s="18">
        <v>2.0562682180664851</v>
      </c>
      <c r="H212" s="18">
        <f t="shared" si="4"/>
        <v>0.11532614016792127</v>
      </c>
      <c r="I212" s="18"/>
      <c r="J212" s="18">
        <v>1.5814479638009049</v>
      </c>
      <c r="K212" s="18">
        <v>0.63233190271816875</v>
      </c>
      <c r="L212" s="18"/>
      <c r="M212" s="8">
        <v>10</v>
      </c>
      <c r="N212" s="22">
        <v>4.3999999999999997E-2</v>
      </c>
      <c r="P212" s="18"/>
      <c r="Q212" s="18"/>
    </row>
    <row r="213" spans="1:17" s="8" customFormat="1" x14ac:dyDescent="0.3">
      <c r="A213" s="8">
        <v>34</v>
      </c>
      <c r="B213" s="19">
        <v>45187</v>
      </c>
      <c r="C213" s="3"/>
      <c r="D213" s="8">
        <v>20</v>
      </c>
      <c r="E213" s="18">
        <v>9.6886595555080141E-2</v>
      </c>
      <c r="F213" s="18">
        <v>0.97198760609661394</v>
      </c>
      <c r="H213" s="18">
        <f t="shared" si="4"/>
        <v>9.9678838441330672E-2</v>
      </c>
      <c r="I213" s="18"/>
      <c r="J213" s="18">
        <v>1.5097087378640777</v>
      </c>
      <c r="K213" s="18">
        <v>0.66237942122186499</v>
      </c>
      <c r="L213" s="18"/>
      <c r="N213" s="20">
        <v>4.3999999999999997E-2</v>
      </c>
      <c r="P213" s="18"/>
      <c r="Q213" s="18"/>
    </row>
    <row r="214" spans="1:17" s="8" customFormat="1" x14ac:dyDescent="0.3">
      <c r="A214" s="8">
        <v>34</v>
      </c>
      <c r="B214" s="19">
        <v>45187</v>
      </c>
      <c r="C214" s="3"/>
      <c r="D214" s="8">
        <v>30</v>
      </c>
      <c r="E214" s="18">
        <v>4.5213744592370736E-2</v>
      </c>
      <c r="F214" s="18">
        <v>0.49960077566698791</v>
      </c>
      <c r="H214" s="18">
        <f t="shared" si="4"/>
        <v>9.0499748588277307E-2</v>
      </c>
      <c r="I214" s="18"/>
      <c r="J214" s="18">
        <v>1.4666666666666668</v>
      </c>
      <c r="K214" s="18">
        <v>0.68181818181818177</v>
      </c>
      <c r="L214" s="18"/>
      <c r="N214" s="20">
        <v>3.4500000000000003E-2</v>
      </c>
      <c r="P214" s="18"/>
      <c r="Q214" s="18"/>
    </row>
    <row r="215" spans="1:17" s="8" customFormat="1" x14ac:dyDescent="0.3">
      <c r="A215" s="8">
        <v>34</v>
      </c>
      <c r="B215" s="19">
        <v>45187</v>
      </c>
      <c r="C215" s="3"/>
      <c r="D215" s="8">
        <v>40</v>
      </c>
      <c r="E215" s="18">
        <v>1.99309567999022E-2</v>
      </c>
      <c r="F215" s="18">
        <v>0.29191049717712109</v>
      </c>
      <c r="H215" s="18">
        <f t="shared" si="4"/>
        <v>6.8277629590719355E-2</v>
      </c>
      <c r="I215" s="18"/>
      <c r="J215" s="18">
        <v>1.3594009983361066</v>
      </c>
      <c r="K215" s="18">
        <v>0.73561811505507957</v>
      </c>
      <c r="L215" s="18"/>
      <c r="N215" s="20">
        <v>2.4199999999999999E-2</v>
      </c>
      <c r="P215" s="18"/>
      <c r="Q215" s="18"/>
    </row>
    <row r="216" spans="1:17" s="8" customFormat="1" x14ac:dyDescent="0.3">
      <c r="A216" s="8">
        <v>34</v>
      </c>
      <c r="B216" s="19">
        <v>45187</v>
      </c>
      <c r="C216" s="3"/>
      <c r="D216" s="8">
        <v>55</v>
      </c>
      <c r="E216" s="18">
        <v>1.3287304533268138E-2</v>
      </c>
      <c r="F216" s="18">
        <v>0.24044060061609029</v>
      </c>
      <c r="H216" s="18">
        <f t="shared" si="4"/>
        <v>5.5262316344334365E-2</v>
      </c>
      <c r="I216" s="18"/>
      <c r="J216" s="18">
        <v>1.294478527607362</v>
      </c>
      <c r="K216" s="18">
        <v>0.77251184834123221</v>
      </c>
      <c r="L216" s="18"/>
      <c r="N216" s="20">
        <v>2.2200000000000001E-2</v>
      </c>
      <c r="P216" s="18"/>
      <c r="Q216" s="18"/>
    </row>
    <row r="217" spans="1:17" s="8" customFormat="1" x14ac:dyDescent="0.3">
      <c r="B217" s="19"/>
      <c r="C217" s="3"/>
      <c r="E217" s="18"/>
      <c r="F217" s="18"/>
      <c r="H217" s="18"/>
      <c r="I217" s="18"/>
      <c r="J217" s="18"/>
      <c r="K217" s="18"/>
      <c r="L217" s="18"/>
      <c r="N217" s="20"/>
      <c r="P217" s="18"/>
      <c r="Q217" s="18"/>
    </row>
    <row r="218" spans="1:17" s="8" customFormat="1" x14ac:dyDescent="0.3">
      <c r="A218" s="8">
        <v>37</v>
      </c>
      <c r="B218" s="19">
        <v>45188</v>
      </c>
      <c r="C218" s="3"/>
      <c r="D218" s="8">
        <v>3.1</v>
      </c>
      <c r="E218" s="18">
        <v>0.14855944651778957</v>
      </c>
      <c r="F218" s="18">
        <v>1.3354115324743683</v>
      </c>
      <c r="H218" s="18">
        <f t="shared" si="4"/>
        <v>0.11124619108427612</v>
      </c>
      <c r="I218" s="18"/>
      <c r="J218" s="18">
        <v>1.5629370629370629</v>
      </c>
      <c r="K218" s="18">
        <v>0.63982102908277405</v>
      </c>
      <c r="L218" s="18"/>
      <c r="N218" s="23">
        <v>3.4799999999999998E-2</v>
      </c>
      <c r="P218" s="18"/>
      <c r="Q218" s="18"/>
    </row>
    <row r="219" spans="1:17" s="8" customFormat="1" x14ac:dyDescent="0.3">
      <c r="A219" s="8">
        <v>37</v>
      </c>
      <c r="B219" s="19">
        <v>45188</v>
      </c>
      <c r="C219" s="3"/>
      <c r="D219" s="8">
        <v>9.8000000000000007</v>
      </c>
      <c r="E219" s="18">
        <v>0.12087756207348091</v>
      </c>
      <c r="F219" s="18">
        <v>1.2904514808840959</v>
      </c>
      <c r="H219" s="18">
        <f t="shared" si="4"/>
        <v>9.3670753115542932E-2</v>
      </c>
      <c r="I219" s="18"/>
      <c r="J219" s="18">
        <v>1.4816176470588234</v>
      </c>
      <c r="K219" s="18">
        <v>0.67493796526054595</v>
      </c>
      <c r="L219" s="18"/>
      <c r="N219" s="23">
        <v>4.0300000000000002E-2</v>
      </c>
      <c r="P219" s="18"/>
      <c r="Q219" s="18"/>
    </row>
    <row r="220" spans="1:17" s="8" customFormat="1" x14ac:dyDescent="0.3">
      <c r="A220" s="8">
        <v>37</v>
      </c>
      <c r="B220" s="19">
        <v>45188</v>
      </c>
      <c r="C220" s="3"/>
      <c r="D220" s="8">
        <v>20</v>
      </c>
      <c r="E220" s="18">
        <v>0.12641393896234268</v>
      </c>
      <c r="F220" s="18">
        <v>1.3471796205963034</v>
      </c>
      <c r="H220" s="18">
        <f t="shared" si="4"/>
        <v>9.3835994124070815E-2</v>
      </c>
      <c r="I220" s="18"/>
      <c r="J220" s="18">
        <v>1.4823943661971832</v>
      </c>
      <c r="K220" s="18">
        <v>0.67458432304037996</v>
      </c>
      <c r="L220" s="18"/>
      <c r="N220" s="23">
        <v>4.0300000000000002E-2</v>
      </c>
      <c r="P220" s="18"/>
      <c r="Q220" s="18"/>
    </row>
    <row r="221" spans="1:17" s="8" customFormat="1" x14ac:dyDescent="0.3">
      <c r="A221" s="8">
        <v>37</v>
      </c>
      <c r="B221" s="19">
        <v>45188</v>
      </c>
      <c r="C221" s="3"/>
      <c r="D221" s="8">
        <v>30</v>
      </c>
      <c r="E221" s="18">
        <v>9.5963866073603202E-2</v>
      </c>
      <c r="F221" s="18">
        <v>1.0299861424624046</v>
      </c>
      <c r="H221" s="18">
        <f t="shared" si="4"/>
        <v>9.3170055515679875E-2</v>
      </c>
      <c r="I221" s="18"/>
      <c r="J221" s="18">
        <v>1.4792626728110601</v>
      </c>
      <c r="K221" s="18">
        <v>0.67601246105919</v>
      </c>
      <c r="L221" s="18"/>
      <c r="M221" s="8">
        <v>30</v>
      </c>
      <c r="N221" s="22">
        <v>4.1700000000000001E-2</v>
      </c>
      <c r="P221" s="18"/>
      <c r="Q221" s="18"/>
    </row>
    <row r="222" spans="1:17" s="8" customFormat="1" x14ac:dyDescent="0.3">
      <c r="A222" s="8">
        <v>37</v>
      </c>
      <c r="B222" s="19">
        <v>45188</v>
      </c>
      <c r="C222" s="3"/>
      <c r="D222" s="8">
        <v>40</v>
      </c>
      <c r="E222" s="18">
        <v>8.212292385144887E-2</v>
      </c>
      <c r="F222" s="18">
        <v>0.75325934054623434</v>
      </c>
      <c r="H222" s="18">
        <f t="shared" si="4"/>
        <v>0.10902343911447089</v>
      </c>
      <c r="I222" s="18"/>
      <c r="J222" s="18">
        <v>1.5527950310559004</v>
      </c>
      <c r="K222" s="18">
        <v>0.64400000000000002</v>
      </c>
      <c r="L222" s="18"/>
      <c r="N222" s="23">
        <v>3.9300000000000002E-2</v>
      </c>
      <c r="P222" s="18"/>
      <c r="Q222" s="18"/>
    </row>
    <row r="223" spans="1:17" s="8" customFormat="1" x14ac:dyDescent="0.3">
      <c r="A223" s="8">
        <v>37</v>
      </c>
      <c r="B223" s="19">
        <v>45188</v>
      </c>
      <c r="C223" s="3"/>
      <c r="D223" s="8">
        <v>55</v>
      </c>
      <c r="E223" s="18">
        <v>5.8131957333048073E-2</v>
      </c>
      <c r="F223" s="18">
        <v>0.4659277240592874</v>
      </c>
      <c r="H223" s="18">
        <f t="shared" si="4"/>
        <v>0.12476604059227654</v>
      </c>
      <c r="I223" s="18"/>
      <c r="J223" s="18">
        <v>1.6237623762376237</v>
      </c>
      <c r="K223" s="18">
        <v>0.61585365853658536</v>
      </c>
      <c r="L223" s="18"/>
      <c r="N223" s="23">
        <v>3.0300000000000001E-2</v>
      </c>
      <c r="P223" s="18"/>
      <c r="Q223" s="18"/>
    </row>
    <row r="224" spans="1:17" s="8" customFormat="1" x14ac:dyDescent="0.3">
      <c r="B224" s="19"/>
      <c r="C224" s="3"/>
      <c r="E224" s="18"/>
      <c r="F224" s="18"/>
      <c r="H224" s="18"/>
      <c r="I224" s="18"/>
      <c r="J224" s="18"/>
      <c r="K224" s="18"/>
      <c r="L224" s="18"/>
      <c r="N224" s="23"/>
      <c r="P224" s="18"/>
      <c r="Q224" s="18"/>
    </row>
    <row r="225" spans="1:17" s="8" customFormat="1" x14ac:dyDescent="0.3">
      <c r="A225" s="8">
        <v>38</v>
      </c>
      <c r="B225" s="19">
        <v>45189</v>
      </c>
      <c r="C225" s="3"/>
      <c r="D225" s="8">
        <v>2.5</v>
      </c>
      <c r="E225" s="18">
        <v>0.17993224888800596</v>
      </c>
      <c r="F225" s="18">
        <v>1.7243242171613715</v>
      </c>
      <c r="H225" s="18">
        <f t="shared" si="4"/>
        <v>0.10434942982139127</v>
      </c>
      <c r="I225" s="18"/>
      <c r="J225" s="18">
        <v>1.5313351498637602</v>
      </c>
      <c r="K225" s="18">
        <v>0.65302491103202853</v>
      </c>
      <c r="L225" s="18"/>
      <c r="M225" s="8">
        <v>3</v>
      </c>
      <c r="N225" s="22">
        <v>5.8999999999999997E-2</v>
      </c>
      <c r="P225" s="18"/>
      <c r="Q225" s="18"/>
    </row>
    <row r="226" spans="1:17" s="8" customFormat="1" x14ac:dyDescent="0.3">
      <c r="A226" s="8">
        <v>38</v>
      </c>
      <c r="B226" s="19">
        <v>45189</v>
      </c>
      <c r="C226" s="3"/>
      <c r="D226" s="8">
        <v>10</v>
      </c>
      <c r="E226" s="18">
        <v>0.140254881184497</v>
      </c>
      <c r="F226" s="18">
        <v>1.6913596488302989</v>
      </c>
      <c r="H226" s="18">
        <f t="shared" si="4"/>
        <v>8.2924339173808301E-2</v>
      </c>
      <c r="I226" s="18"/>
      <c r="J226" s="18">
        <v>1.4305949008498584</v>
      </c>
      <c r="K226" s="18">
        <v>0.69900990099009896</v>
      </c>
      <c r="L226" s="18"/>
      <c r="N226" s="20">
        <v>5.4899999999999997E-2</v>
      </c>
      <c r="P226" s="18"/>
      <c r="Q226" s="18"/>
    </row>
    <row r="227" spans="1:17" s="8" customFormat="1" x14ac:dyDescent="0.3">
      <c r="A227" s="8">
        <v>38</v>
      </c>
      <c r="B227" s="19">
        <v>45189</v>
      </c>
      <c r="C227" s="3"/>
      <c r="D227" s="8">
        <v>19</v>
      </c>
      <c r="E227" s="18">
        <v>0.10334570192541884</v>
      </c>
      <c r="F227" s="18">
        <v>1.1419446300959724</v>
      </c>
      <c r="H227" s="18">
        <f t="shared" si="4"/>
        <v>9.0499748588277321E-2</v>
      </c>
      <c r="I227" s="18"/>
      <c r="J227" s="18">
        <v>1.4666666666666668</v>
      </c>
      <c r="K227" s="18">
        <v>0.68181818181818177</v>
      </c>
      <c r="L227" s="18"/>
      <c r="N227" s="20">
        <v>4.7899999999999998E-2</v>
      </c>
      <c r="P227" s="18"/>
      <c r="Q227" s="18"/>
    </row>
    <row r="228" spans="1:17" s="8" customFormat="1" x14ac:dyDescent="0.3">
      <c r="A228" s="8">
        <v>38</v>
      </c>
      <c r="B228" s="19">
        <v>45189</v>
      </c>
      <c r="C228" s="3"/>
      <c r="D228" s="8">
        <v>30</v>
      </c>
      <c r="E228" s="18">
        <v>7.1972899555202377E-2</v>
      </c>
      <c r="F228" s="18">
        <v>0.737465816258702</v>
      </c>
      <c r="H228" s="18">
        <f t="shared" si="4"/>
        <v>9.7594895883220678E-2</v>
      </c>
      <c r="I228" s="18"/>
      <c r="J228" s="18">
        <v>1.5</v>
      </c>
      <c r="K228" s="18">
        <v>0.66666666666666674</v>
      </c>
      <c r="L228" s="18"/>
      <c r="N228" s="20">
        <v>4.0300000000000002E-2</v>
      </c>
      <c r="P228" s="18"/>
      <c r="Q228" s="18"/>
    </row>
    <row r="229" spans="1:17" s="8" customFormat="1" x14ac:dyDescent="0.3">
      <c r="A229" s="8">
        <v>38</v>
      </c>
      <c r="B229" s="19">
        <v>45189</v>
      </c>
      <c r="C229" s="3"/>
      <c r="D229" s="8">
        <v>40</v>
      </c>
      <c r="E229" s="18">
        <v>4.2445556147939864E-2</v>
      </c>
      <c r="F229" s="18">
        <v>0.38821735034279126</v>
      </c>
      <c r="H229" s="18">
        <f t="shared" si="4"/>
        <v>0.1093345161169663</v>
      </c>
      <c r="I229" s="18"/>
      <c r="J229" s="18">
        <v>1.5542168674698795</v>
      </c>
      <c r="K229" s="18">
        <v>0.64341085271317833</v>
      </c>
      <c r="L229" s="18"/>
      <c r="N229" s="20">
        <v>3.2300000000000002E-2</v>
      </c>
      <c r="P229" s="18"/>
      <c r="Q229" s="18"/>
    </row>
    <row r="230" spans="1:17" s="8" customFormat="1" x14ac:dyDescent="0.3">
      <c r="A230" s="8">
        <v>38</v>
      </c>
      <c r="B230" s="19">
        <v>45189</v>
      </c>
      <c r="C230" s="3"/>
      <c r="D230" s="8">
        <v>55</v>
      </c>
      <c r="E230" s="18">
        <v>5.6286498370094175E-2</v>
      </c>
      <c r="F230" s="18">
        <v>0.5092828607562877</v>
      </c>
      <c r="H230" s="18">
        <f t="shared" ref="H230:H272" si="5">E230/F230</f>
        <v>0.11052109290799307</v>
      </c>
      <c r="I230" s="18"/>
      <c r="J230" s="18">
        <v>1.5596330275229358</v>
      </c>
      <c r="K230" s="18">
        <v>0.64117647058823535</v>
      </c>
      <c r="L230" s="18"/>
      <c r="N230" s="20">
        <v>3.3000000000000002E-2</v>
      </c>
      <c r="P230" s="18"/>
      <c r="Q230" s="18"/>
    </row>
    <row r="231" spans="1:17" s="8" customFormat="1" x14ac:dyDescent="0.3">
      <c r="B231" s="19"/>
      <c r="C231" s="3"/>
      <c r="E231" s="18"/>
      <c r="F231" s="18"/>
      <c r="H231" s="18"/>
      <c r="I231" s="18"/>
      <c r="J231" s="18"/>
      <c r="K231" s="18"/>
      <c r="L231" s="18"/>
      <c r="N231" s="20"/>
      <c r="P231" s="18"/>
      <c r="Q231" s="18"/>
    </row>
    <row r="232" spans="1:17" s="8" customFormat="1" x14ac:dyDescent="0.3">
      <c r="A232" s="8">
        <v>40</v>
      </c>
      <c r="B232" s="19">
        <v>45190</v>
      </c>
      <c r="C232" s="3"/>
      <c r="D232" s="8">
        <v>3.3</v>
      </c>
      <c r="E232" s="27">
        <v>0.12364575051791178</v>
      </c>
      <c r="F232" s="27">
        <v>1.412212325641804</v>
      </c>
      <c r="H232" s="18">
        <f t="shared" si="5"/>
        <v>8.7554646190840218E-2</v>
      </c>
      <c r="I232" s="18"/>
      <c r="J232" s="18">
        <v>1.3985765124555158</v>
      </c>
      <c r="K232" s="18">
        <v>0.71501272264631055</v>
      </c>
      <c r="L232" s="18"/>
      <c r="M232" s="8">
        <v>3</v>
      </c>
      <c r="N232" s="22">
        <v>4.8500000000000001E-2</v>
      </c>
      <c r="P232" s="18"/>
      <c r="Q232" s="18"/>
    </row>
    <row r="233" spans="1:17" s="8" customFormat="1" x14ac:dyDescent="0.3">
      <c r="A233" s="8">
        <v>40</v>
      </c>
      <c r="B233" s="19">
        <v>45190</v>
      </c>
      <c r="C233" s="3"/>
      <c r="D233" s="8">
        <v>10</v>
      </c>
      <c r="E233" s="27">
        <v>0.10334570192541878</v>
      </c>
      <c r="F233" s="27">
        <v>1.35468172848296</v>
      </c>
      <c r="H233" s="18">
        <f t="shared" si="5"/>
        <v>7.6287809713910026E-2</v>
      </c>
      <c r="I233" s="18"/>
      <c r="J233" s="18">
        <v>1.4527027027027026</v>
      </c>
      <c r="K233" s="18">
        <v>0.68837209302325586</v>
      </c>
      <c r="L233" s="18"/>
      <c r="N233" s="20">
        <v>4.53E-2</v>
      </c>
      <c r="P233" s="18"/>
      <c r="Q233" s="18"/>
    </row>
    <row r="234" spans="1:17" s="8" customFormat="1" x14ac:dyDescent="0.3">
      <c r="A234" s="8">
        <v>40</v>
      </c>
      <c r="B234" s="19">
        <v>45190</v>
      </c>
      <c r="C234" s="3"/>
      <c r="D234" s="8">
        <v>20</v>
      </c>
      <c r="E234" s="27">
        <v>2.6759154962831676E-2</v>
      </c>
      <c r="F234" s="27">
        <v>1.3586263394109659</v>
      </c>
      <c r="H234" s="18">
        <f t="shared" si="5"/>
        <v>1.969574281507978E-2</v>
      </c>
      <c r="I234" s="18"/>
      <c r="J234" s="18">
        <v>1.1086142322097379</v>
      </c>
      <c r="K234" s="18">
        <v>0.90202702702702697</v>
      </c>
      <c r="L234" s="18"/>
      <c r="N234" s="20">
        <v>4.2799999999999998E-2</v>
      </c>
      <c r="P234" s="18"/>
      <c r="Q234" s="18"/>
    </row>
    <row r="235" spans="1:17" s="8" customFormat="1" x14ac:dyDescent="0.3">
      <c r="A235" s="8">
        <v>40</v>
      </c>
      <c r="B235" s="19">
        <v>45190</v>
      </c>
      <c r="C235" s="3"/>
      <c r="D235" s="8">
        <v>30</v>
      </c>
      <c r="E235" s="27">
        <v>6.0900145777478924E-2</v>
      </c>
      <c r="F235" s="27">
        <v>0.78485953805371578</v>
      </c>
      <c r="H235" s="18">
        <f t="shared" si="5"/>
        <v>7.7593687564144656E-2</v>
      </c>
      <c r="I235" s="18"/>
      <c r="J235" s="18">
        <v>1.4049079754601226</v>
      </c>
      <c r="K235" s="18">
        <v>0.71179039301310054</v>
      </c>
      <c r="L235" s="18"/>
      <c r="N235" s="20">
        <v>4.0300000000000002E-2</v>
      </c>
      <c r="P235" s="18"/>
      <c r="Q235" s="18"/>
    </row>
    <row r="236" spans="1:17" s="8" customFormat="1" x14ac:dyDescent="0.3">
      <c r="A236" s="8">
        <v>40</v>
      </c>
      <c r="B236" s="19">
        <v>45190</v>
      </c>
      <c r="C236" s="3"/>
      <c r="D236" s="8">
        <v>40</v>
      </c>
      <c r="E236" s="27">
        <v>5.6286498370094154E-2</v>
      </c>
      <c r="F236" s="27">
        <v>0.55598124820708983</v>
      </c>
      <c r="H236" s="18">
        <f t="shared" si="5"/>
        <v>0.10123812368061876</v>
      </c>
      <c r="I236" s="18"/>
      <c r="J236" s="18">
        <v>1.5169491525423726</v>
      </c>
      <c r="K236" s="18">
        <v>0.65921787709497215</v>
      </c>
      <c r="L236" s="18"/>
      <c r="N236" s="20">
        <v>3.1800000000000002E-2</v>
      </c>
      <c r="P236" s="18"/>
      <c r="Q236" s="18"/>
    </row>
    <row r="237" spans="1:17" s="8" customFormat="1" x14ac:dyDescent="0.3">
      <c r="A237" s="8">
        <v>40</v>
      </c>
      <c r="B237" s="19">
        <v>45190</v>
      </c>
      <c r="C237" s="3"/>
      <c r="D237" s="8">
        <v>55</v>
      </c>
      <c r="E237" s="27">
        <v>4.8166478933096973E-2</v>
      </c>
      <c r="F237" s="27">
        <v>0.39183610504779454</v>
      </c>
      <c r="H237" s="18">
        <f t="shared" si="5"/>
        <v>0.12292506563993592</v>
      </c>
      <c r="I237" s="18"/>
      <c r="J237" s="18">
        <v>1.6155660377358489</v>
      </c>
      <c r="K237" s="18">
        <v>0.61897810218978111</v>
      </c>
      <c r="L237" s="18"/>
      <c r="N237" s="20">
        <v>2.7699999999999999E-2</v>
      </c>
      <c r="P237" s="18"/>
      <c r="Q237" s="18"/>
    </row>
    <row r="238" spans="1:17" s="8" customFormat="1" x14ac:dyDescent="0.3">
      <c r="B238" s="19"/>
      <c r="C238" s="3"/>
      <c r="E238" s="18"/>
      <c r="F238" s="18"/>
      <c r="H238" s="18"/>
      <c r="I238" s="18"/>
      <c r="J238" s="18"/>
      <c r="K238" s="18"/>
      <c r="L238" s="18"/>
      <c r="N238" s="21"/>
      <c r="P238" s="18"/>
      <c r="Q238" s="18"/>
    </row>
    <row r="239" spans="1:17" s="8" customFormat="1" x14ac:dyDescent="0.3">
      <c r="A239" s="8">
        <v>41</v>
      </c>
      <c r="B239" s="19">
        <v>45190</v>
      </c>
      <c r="C239" s="3"/>
      <c r="D239" s="8">
        <v>2.9</v>
      </c>
      <c r="E239" s="18">
        <v>7.5663817481110202E-2</v>
      </c>
      <c r="F239" s="18">
        <v>0.89981360926897958</v>
      </c>
      <c r="H239" s="18">
        <f t="shared" si="5"/>
        <v>8.4088323072353269E-2</v>
      </c>
      <c r="I239" s="18"/>
      <c r="J239" s="18">
        <v>1.4361702127659575</v>
      </c>
      <c r="K239" s="18">
        <v>0.6962962962962963</v>
      </c>
      <c r="L239" s="18"/>
      <c r="N239" s="23">
        <v>3.1E-2</v>
      </c>
      <c r="P239" s="18"/>
      <c r="Q239" s="18"/>
    </row>
    <row r="240" spans="1:17" s="8" customFormat="1" x14ac:dyDescent="0.3">
      <c r="A240" s="8">
        <v>41</v>
      </c>
      <c r="B240" s="19">
        <v>45190</v>
      </c>
      <c r="C240" s="3"/>
      <c r="D240" s="8">
        <v>9.8000000000000007</v>
      </c>
      <c r="E240" s="18">
        <v>6.7359252147817628E-2</v>
      </c>
      <c r="F240" s="18">
        <v>0.83028752885093526</v>
      </c>
      <c r="H240" s="18">
        <f t="shared" si="5"/>
        <v>8.1127621224226398E-2</v>
      </c>
      <c r="I240" s="18"/>
      <c r="J240" s="18">
        <v>1.4219653179190752</v>
      </c>
      <c r="K240" s="18">
        <v>0.7032520325203252</v>
      </c>
      <c r="L240" s="18"/>
      <c r="N240" s="23">
        <v>2.9600000000000001E-2</v>
      </c>
      <c r="P240" s="18"/>
      <c r="Q240" s="18"/>
    </row>
    <row r="241" spans="1:18" s="8" customFormat="1" x14ac:dyDescent="0.3">
      <c r="A241" s="8">
        <v>41</v>
      </c>
      <c r="B241" s="19">
        <v>45190</v>
      </c>
      <c r="C241" s="3"/>
      <c r="D241" s="8">
        <v>19.8</v>
      </c>
      <c r="E241" s="18">
        <v>7.1050170073725424E-2</v>
      </c>
      <c r="F241" s="18">
        <v>0.91480467610987581</v>
      </c>
      <c r="H241" s="18">
        <f t="shared" si="5"/>
        <v>7.7667038581241021E-2</v>
      </c>
      <c r="I241" s="18"/>
      <c r="J241" s="18">
        <v>1.4052631578947368</v>
      </c>
      <c r="K241" s="18">
        <v>0.71161048689138584</v>
      </c>
      <c r="L241" s="18"/>
      <c r="N241" s="23">
        <v>3.1300000000000001E-2</v>
      </c>
      <c r="P241" s="18"/>
      <c r="Q241" s="18"/>
    </row>
    <row r="242" spans="1:18" s="8" customFormat="1" x14ac:dyDescent="0.3">
      <c r="A242" s="8">
        <v>41</v>
      </c>
      <c r="B242" s="19">
        <v>45190</v>
      </c>
      <c r="C242" s="3"/>
      <c r="D242" s="8">
        <v>30.2</v>
      </c>
      <c r="E242" s="18">
        <v>7.9354735407018026E-2</v>
      </c>
      <c r="F242" s="18">
        <v>0.9687646273776529</v>
      </c>
      <c r="H242" s="18">
        <f t="shared" si="5"/>
        <v>8.1913328753366238E-2</v>
      </c>
      <c r="I242" s="18"/>
      <c r="J242" s="18">
        <v>1.4257425742574259</v>
      </c>
      <c r="K242" s="18">
        <v>0.70138888888888884</v>
      </c>
      <c r="L242" s="18"/>
      <c r="M242" s="8">
        <v>30</v>
      </c>
      <c r="N242" s="22">
        <v>3.4200000000000001E-2</v>
      </c>
      <c r="P242" s="18"/>
      <c r="Q242" s="18"/>
    </row>
    <row r="243" spans="1:18" s="8" customFormat="1" x14ac:dyDescent="0.3">
      <c r="A243" s="8">
        <v>41</v>
      </c>
      <c r="B243" s="19">
        <v>45190</v>
      </c>
      <c r="C243" s="3"/>
      <c r="D243" s="8">
        <v>40</v>
      </c>
      <c r="E243" s="18">
        <v>5.7209227851571141E-2</v>
      </c>
      <c r="F243" s="18">
        <v>0.75222948796233313</v>
      </c>
      <c r="H243" s="18">
        <f t="shared" si="5"/>
        <v>7.6052891793090424E-2</v>
      </c>
      <c r="I243" s="18"/>
      <c r="J243" s="18">
        <v>1.3974358974358976</v>
      </c>
      <c r="K243" s="18">
        <v>0.71559633027522929</v>
      </c>
      <c r="L243" s="18"/>
      <c r="N243" s="23">
        <v>3.3000000000000002E-2</v>
      </c>
      <c r="P243" s="18"/>
      <c r="Q243" s="18"/>
    </row>
    <row r="244" spans="1:18" s="8" customFormat="1" x14ac:dyDescent="0.3">
      <c r="A244" s="8">
        <v>41</v>
      </c>
      <c r="B244" s="19">
        <v>45190</v>
      </c>
      <c r="C244" s="3"/>
      <c r="D244" s="8">
        <v>54.8</v>
      </c>
      <c r="E244" s="18">
        <v>4.3276012681269127E-2</v>
      </c>
      <c r="F244" s="18">
        <v>0.47092512024923028</v>
      </c>
      <c r="H244" s="18">
        <f t="shared" si="5"/>
        <v>9.189574057626386E-2</v>
      </c>
      <c r="I244" s="18"/>
      <c r="J244" s="18">
        <v>1.4732593340060545</v>
      </c>
      <c r="K244" s="18">
        <v>0.6787671232876713</v>
      </c>
      <c r="L244" s="18"/>
      <c r="N244" s="23">
        <v>2.98E-2</v>
      </c>
      <c r="P244" s="18"/>
      <c r="Q244" s="18"/>
    </row>
    <row r="245" spans="1:18" s="8" customFormat="1" x14ac:dyDescent="0.3">
      <c r="B245" s="19"/>
      <c r="C245" s="3"/>
      <c r="E245" s="18"/>
      <c r="F245" s="18"/>
      <c r="H245" s="18"/>
      <c r="I245" s="18"/>
      <c r="J245" s="18"/>
      <c r="K245" s="18"/>
      <c r="L245" s="18"/>
      <c r="N245" s="20"/>
      <c r="P245" s="18"/>
      <c r="Q245" s="18"/>
    </row>
    <row r="246" spans="1:18" s="8" customFormat="1" x14ac:dyDescent="0.3">
      <c r="A246" s="8">
        <v>42</v>
      </c>
      <c r="B246" s="19">
        <v>45191</v>
      </c>
      <c r="C246" s="3"/>
      <c r="D246" s="8">
        <v>3.8</v>
      </c>
      <c r="E246" s="18">
        <v>6.2745604740432823E-2</v>
      </c>
      <c r="F246" s="18">
        <v>1.0320721454950401</v>
      </c>
      <c r="H246" s="18">
        <f t="shared" si="5"/>
        <v>6.0795754457975887E-2</v>
      </c>
      <c r="J246" s="18">
        <v>1.5418994413407823</v>
      </c>
      <c r="K246" s="18">
        <v>0.64855072463768104</v>
      </c>
      <c r="L246" s="18"/>
      <c r="N246" s="23">
        <v>3.5000000000000003E-2</v>
      </c>
      <c r="P246" s="18"/>
      <c r="Q246" s="18"/>
      <c r="R246" s="18"/>
    </row>
    <row r="247" spans="1:18" s="8" customFormat="1" x14ac:dyDescent="0.3">
      <c r="A247" s="8">
        <v>42</v>
      </c>
      <c r="B247" s="19">
        <v>45191</v>
      </c>
      <c r="C247" s="3"/>
      <c r="D247" s="8">
        <v>9</v>
      </c>
      <c r="E247" s="18">
        <v>4.8904662518278554E-2</v>
      </c>
      <c r="F247" s="18">
        <v>0.59968405207619602</v>
      </c>
      <c r="H247" s="18">
        <f t="shared" si="5"/>
        <v>8.1550713828328916E-2</v>
      </c>
      <c r="J247" s="18">
        <v>1.4999999999999998</v>
      </c>
      <c r="K247" s="18">
        <v>0.66666666666666674</v>
      </c>
      <c r="L247" s="18"/>
      <c r="N247" s="23">
        <v>3.3000000000000002E-2</v>
      </c>
      <c r="P247" s="18"/>
      <c r="Q247" s="18"/>
      <c r="R247" s="18"/>
    </row>
    <row r="248" spans="1:18" s="8" customFormat="1" x14ac:dyDescent="0.3">
      <c r="A248" s="8">
        <v>42</v>
      </c>
      <c r="B248" s="19">
        <v>45191</v>
      </c>
      <c r="C248" s="3"/>
      <c r="D248" s="8">
        <v>20</v>
      </c>
      <c r="E248" s="18">
        <v>6.1822875258955891E-2</v>
      </c>
      <c r="F248" s="18">
        <v>0.96554164865869185</v>
      </c>
      <c r="H248" s="18">
        <f t="shared" si="5"/>
        <v>6.4029216497122413E-2</v>
      </c>
      <c r="J248" s="18">
        <v>1.0656565656565657</v>
      </c>
      <c r="K248" s="18">
        <v>0.74716981132075477</v>
      </c>
      <c r="L248" s="18"/>
      <c r="N248" s="23">
        <v>3.4799999999999998E-2</v>
      </c>
      <c r="P248" s="18"/>
      <c r="Q248" s="18"/>
      <c r="R248" s="18"/>
    </row>
    <row r="249" spans="1:18" s="8" customFormat="1" x14ac:dyDescent="0.3">
      <c r="A249" s="8">
        <v>42</v>
      </c>
      <c r="B249" s="19">
        <v>45191</v>
      </c>
      <c r="C249" s="3"/>
      <c r="D249" s="8">
        <v>30</v>
      </c>
      <c r="E249" s="18">
        <v>8.1200194369971904E-2</v>
      </c>
      <c r="F249" s="18">
        <v>0.83201271577904834</v>
      </c>
      <c r="H249" s="18">
        <f t="shared" si="5"/>
        <v>9.7594895883220678E-2</v>
      </c>
      <c r="J249" s="18">
        <v>1.2792452830188679</v>
      </c>
      <c r="K249" s="18">
        <v>0.78171091445427732</v>
      </c>
      <c r="L249" s="18"/>
      <c r="N249" s="23">
        <v>3.56E-2</v>
      </c>
      <c r="P249" s="18"/>
      <c r="Q249" s="18"/>
      <c r="R249" s="18"/>
    </row>
    <row r="250" spans="1:18" s="8" customFormat="1" x14ac:dyDescent="0.3">
      <c r="A250" s="8">
        <v>42</v>
      </c>
      <c r="B250" s="19">
        <v>45191</v>
      </c>
      <c r="C250" s="3"/>
      <c r="D250" s="8">
        <v>39</v>
      </c>
      <c r="E250" s="18">
        <v>8.9504759703264533E-2</v>
      </c>
      <c r="F250" s="18">
        <v>0.83927427959602297</v>
      </c>
      <c r="H250" s="18">
        <f t="shared" si="5"/>
        <v>0.1066454219785537</v>
      </c>
      <c r="J250" s="18">
        <v>1.3222748815165875</v>
      </c>
      <c r="K250" s="18">
        <v>0.7562724014336919</v>
      </c>
      <c r="L250" s="18"/>
      <c r="M250" s="8">
        <v>39</v>
      </c>
      <c r="N250" s="22">
        <v>3.7400000000000003E-2</v>
      </c>
      <c r="P250" s="18"/>
      <c r="Q250" s="18"/>
      <c r="R250" s="18"/>
    </row>
    <row r="251" spans="1:18" s="8" customFormat="1" x14ac:dyDescent="0.3">
      <c r="A251" s="8">
        <v>42</v>
      </c>
      <c r="B251" s="19">
        <v>45191</v>
      </c>
      <c r="C251" s="3"/>
      <c r="D251" s="8">
        <v>55</v>
      </c>
      <c r="E251" s="18">
        <v>6.8281981629294566E-2</v>
      </c>
      <c r="F251" s="18">
        <v>1.3067260933109914</v>
      </c>
      <c r="H251" s="18">
        <f t="shared" si="5"/>
        <v>5.2254242093139211E-2</v>
      </c>
      <c r="J251" s="18">
        <v>1.4240000000000002</v>
      </c>
      <c r="K251" s="18">
        <v>0.70224719101123589</v>
      </c>
      <c r="L251" s="18"/>
      <c r="N251" s="23">
        <v>3.5099999999999999E-2</v>
      </c>
      <c r="P251" s="18"/>
      <c r="Q251" s="18"/>
      <c r="R251" s="18"/>
    </row>
    <row r="252" spans="1:18" s="8" customFormat="1" x14ac:dyDescent="0.3">
      <c r="B252" s="19"/>
      <c r="C252" s="3"/>
      <c r="E252" s="18"/>
      <c r="F252" s="18"/>
      <c r="H252" s="18"/>
      <c r="I252" s="18"/>
      <c r="J252" s="18"/>
      <c r="K252" s="18"/>
      <c r="L252" s="18"/>
      <c r="N252" s="23"/>
      <c r="P252" s="18"/>
      <c r="Q252" s="18"/>
    </row>
    <row r="253" spans="1:18" s="8" customFormat="1" x14ac:dyDescent="0.3">
      <c r="A253" s="8">
        <v>43</v>
      </c>
      <c r="B253" s="19">
        <v>45191</v>
      </c>
      <c r="C253" s="3"/>
      <c r="D253" s="8">
        <v>2.9</v>
      </c>
      <c r="E253" s="18">
        <v>9.3195677629172344E-2</v>
      </c>
      <c r="F253" s="18">
        <v>1.2506801390105786</v>
      </c>
      <c r="H253" s="18">
        <f t="shared" si="5"/>
        <v>7.4515997114098301E-2</v>
      </c>
      <c r="I253" s="18"/>
      <c r="J253" s="18">
        <v>1.6161971830985915</v>
      </c>
      <c r="K253" s="18">
        <v>0.61873638344226578</v>
      </c>
      <c r="L253" s="18"/>
      <c r="N253" s="23">
        <v>4.2999999999999997E-2</v>
      </c>
      <c r="P253" s="18"/>
      <c r="Q253" s="18"/>
    </row>
    <row r="254" spans="1:18" s="8" customFormat="1" x14ac:dyDescent="0.3">
      <c r="A254" s="8">
        <v>43</v>
      </c>
      <c r="B254" s="19">
        <v>45191</v>
      </c>
      <c r="C254" s="3"/>
      <c r="D254" s="8">
        <v>9.9</v>
      </c>
      <c r="E254" s="18">
        <v>0.10426843140689575</v>
      </c>
      <c r="F254" s="18">
        <v>1.0631912548631584</v>
      </c>
      <c r="H254" s="18">
        <f t="shared" si="5"/>
        <v>9.8071189854092591E-2</v>
      </c>
      <c r="I254" s="18"/>
      <c r="J254" s="18">
        <v>1.5849802371541502</v>
      </c>
      <c r="K254" s="18">
        <v>0.63092269326683292</v>
      </c>
      <c r="L254" s="18"/>
      <c r="N254" s="23">
        <v>4.3400000000000001E-2</v>
      </c>
      <c r="P254" s="18"/>
      <c r="Q254" s="18"/>
    </row>
    <row r="255" spans="1:18" s="8" customFormat="1" x14ac:dyDescent="0.3">
      <c r="A255" s="8">
        <v>43</v>
      </c>
      <c r="B255" s="19">
        <v>45191</v>
      </c>
      <c r="C255" s="3"/>
      <c r="D255" s="8">
        <v>20</v>
      </c>
      <c r="E255" s="18">
        <v>9.042748918474143E-2</v>
      </c>
      <c r="F255" s="18">
        <v>1.3157128440560795</v>
      </c>
      <c r="H255" s="18">
        <f t="shared" si="5"/>
        <v>6.872889444931736E-2</v>
      </c>
      <c r="I255" s="18"/>
      <c r="J255" s="18">
        <v>1.5022222222222221</v>
      </c>
      <c r="K255" s="18">
        <v>0.66568047337278113</v>
      </c>
      <c r="L255" s="18"/>
      <c r="N255" s="23">
        <v>3.9199999999999999E-2</v>
      </c>
      <c r="P255" s="18"/>
      <c r="Q255" s="18"/>
    </row>
    <row r="256" spans="1:18" s="8" customFormat="1" x14ac:dyDescent="0.3">
      <c r="A256" s="8">
        <v>43</v>
      </c>
      <c r="B256" s="19">
        <v>45191</v>
      </c>
      <c r="C256" s="3"/>
      <c r="D256" s="8">
        <v>30</v>
      </c>
      <c r="E256" s="18">
        <v>0.16147765925846691</v>
      </c>
      <c r="F256" s="18">
        <v>1.312115900300179</v>
      </c>
      <c r="H256" s="18">
        <f t="shared" si="5"/>
        <v>0.12306661265329145</v>
      </c>
      <c r="I256" s="18"/>
      <c r="J256" s="18">
        <v>1.3616236162361623</v>
      </c>
      <c r="K256" s="18">
        <v>0.73441734417344184</v>
      </c>
      <c r="L256" s="18"/>
      <c r="M256" s="8">
        <v>30</v>
      </c>
      <c r="N256" s="22">
        <v>4.5199999999999997E-2</v>
      </c>
      <c r="P256" s="18"/>
      <c r="Q256" s="18"/>
    </row>
    <row r="257" spans="1:17" s="8" customFormat="1" x14ac:dyDescent="0.3">
      <c r="A257" s="8">
        <v>43</v>
      </c>
      <c r="B257" s="19">
        <v>45191</v>
      </c>
      <c r="C257" s="3"/>
      <c r="D257" s="8">
        <v>40</v>
      </c>
      <c r="E257" s="18">
        <v>0.13656396325858916</v>
      </c>
      <c r="F257" s="18">
        <v>1.1761795950806273</v>
      </c>
      <c r="H257" s="18">
        <f t="shared" si="5"/>
        <v>0.11610808742964775</v>
      </c>
      <c r="I257" s="18"/>
      <c r="J257" s="18">
        <v>1.3899613899613901</v>
      </c>
      <c r="K257" s="18">
        <v>0.71944444444444444</v>
      </c>
      <c r="L257" s="18"/>
      <c r="N257" s="23">
        <v>4.3900000000000002E-2</v>
      </c>
      <c r="P257" s="18"/>
      <c r="Q257" s="18"/>
    </row>
    <row r="258" spans="1:17" s="8" customFormat="1" x14ac:dyDescent="0.3">
      <c r="A258" s="8">
        <v>43</v>
      </c>
      <c r="B258" s="19">
        <v>45191</v>
      </c>
      <c r="C258" s="3"/>
      <c r="D258" s="8">
        <v>55.2</v>
      </c>
      <c r="E258" s="18">
        <v>7.6586546962587168E-2</v>
      </c>
      <c r="F258" s="18">
        <v>0.8418150729031888</v>
      </c>
      <c r="H258" s="18">
        <f t="shared" si="5"/>
        <v>9.0977875578375209E-2</v>
      </c>
      <c r="I258" s="18"/>
      <c r="J258" s="18">
        <v>1.4689265536723164</v>
      </c>
      <c r="K258" s="18">
        <v>0.68076923076923079</v>
      </c>
      <c r="L258" s="18"/>
      <c r="N258" s="23">
        <v>3.5799999999999998E-2</v>
      </c>
      <c r="P258" s="18"/>
      <c r="Q258" s="18"/>
    </row>
    <row r="259" spans="1:17" s="8" customFormat="1" x14ac:dyDescent="0.3">
      <c r="B259" s="19"/>
      <c r="C259" s="3"/>
      <c r="E259" s="18"/>
      <c r="F259" s="18"/>
      <c r="H259" s="18"/>
      <c r="I259" s="18"/>
      <c r="J259" s="18"/>
      <c r="K259" s="18"/>
      <c r="L259" s="18"/>
      <c r="N259" s="23"/>
      <c r="P259" s="18"/>
      <c r="Q259" s="18"/>
    </row>
    <row r="260" spans="1:17" s="8" customFormat="1" x14ac:dyDescent="0.3">
      <c r="A260" s="8">
        <v>44</v>
      </c>
      <c r="B260" s="19">
        <v>45191</v>
      </c>
      <c r="C260" s="3"/>
      <c r="D260" s="8">
        <v>3</v>
      </c>
      <c r="E260" s="18">
        <v>0.10611389036984968</v>
      </c>
      <c r="F260" s="18">
        <v>0.76558934204512419</v>
      </c>
      <c r="H260" s="18">
        <f t="shared" si="5"/>
        <v>0.13860418966437921</v>
      </c>
      <c r="I260" s="18"/>
      <c r="J260" s="18">
        <v>1.7040816326530615</v>
      </c>
      <c r="K260" s="18">
        <v>0.58682634730538918</v>
      </c>
      <c r="L260" s="18"/>
      <c r="N260" s="23">
        <v>2.9399999999999999E-2</v>
      </c>
      <c r="P260" s="18"/>
      <c r="Q260" s="18"/>
    </row>
    <row r="261" spans="1:17" s="8" customFormat="1" x14ac:dyDescent="0.3">
      <c r="A261" s="8">
        <v>44</v>
      </c>
      <c r="B261" s="19">
        <v>45191</v>
      </c>
      <c r="C261" s="3"/>
      <c r="D261" s="8">
        <v>10</v>
      </c>
      <c r="E261" s="18">
        <v>0.11810937362905005</v>
      </c>
      <c r="F261" s="18">
        <v>1.438503541397689</v>
      </c>
      <c r="H261" s="18">
        <f t="shared" si="5"/>
        <v>8.2105723225604152E-2</v>
      </c>
      <c r="I261" s="18"/>
      <c r="J261" s="18">
        <v>1.671186440677966</v>
      </c>
      <c r="K261" s="18">
        <v>0.5983772819472617</v>
      </c>
      <c r="L261" s="18"/>
      <c r="N261" s="23">
        <v>3.4200000000000001E-2</v>
      </c>
      <c r="P261" s="18"/>
      <c r="Q261" s="18"/>
    </row>
    <row r="262" spans="1:17" s="8" customFormat="1" x14ac:dyDescent="0.3">
      <c r="A262" s="8">
        <v>44</v>
      </c>
      <c r="B262" s="19">
        <v>45191</v>
      </c>
      <c r="C262" s="3"/>
      <c r="D262" s="8">
        <v>20</v>
      </c>
      <c r="E262" s="18">
        <v>0.18270043733243679</v>
      </c>
      <c r="F262" s="18">
        <v>1.3479689291105228</v>
      </c>
      <c r="H262" s="18">
        <f t="shared" si="5"/>
        <v>0.13553757314940068</v>
      </c>
      <c r="I262" s="18"/>
      <c r="J262" s="18">
        <v>1.6025236593059937</v>
      </c>
      <c r="K262" s="18">
        <v>0.62401574803149606</v>
      </c>
      <c r="L262" s="18"/>
      <c r="N262" s="23">
        <v>4.1500000000000002E-2</v>
      </c>
      <c r="P262" s="18"/>
      <c r="Q262" s="18"/>
    </row>
    <row r="263" spans="1:17" s="8" customFormat="1" x14ac:dyDescent="0.3">
      <c r="A263" s="8">
        <v>44</v>
      </c>
      <c r="B263" s="19">
        <v>45191</v>
      </c>
      <c r="C263" s="3"/>
      <c r="D263" s="8">
        <v>30</v>
      </c>
      <c r="E263" s="18">
        <v>0.17624133096209812</v>
      </c>
      <c r="F263" s="18">
        <v>1.4685796492494891</v>
      </c>
      <c r="H263" s="18">
        <f t="shared" si="5"/>
        <v>0.1200080166248834</v>
      </c>
      <c r="I263" s="18"/>
      <c r="J263" s="18">
        <v>1.4266666666666665</v>
      </c>
      <c r="K263" s="18">
        <v>0.70093457943925241</v>
      </c>
      <c r="L263" s="18"/>
      <c r="N263" s="23">
        <v>3.9100000000000003E-2</v>
      </c>
      <c r="P263" s="18"/>
      <c r="Q263" s="18"/>
    </row>
    <row r="264" spans="1:17" s="8" customFormat="1" x14ac:dyDescent="0.3">
      <c r="A264" s="8">
        <v>44</v>
      </c>
      <c r="B264" s="19">
        <v>45191</v>
      </c>
      <c r="C264" s="3"/>
      <c r="D264" s="8">
        <v>40</v>
      </c>
      <c r="E264" s="18">
        <v>0.19100500266572945</v>
      </c>
      <c r="F264" s="18">
        <v>1.3344756540604745</v>
      </c>
      <c r="H264" s="18">
        <f t="shared" si="5"/>
        <v>0.14313112576055559</v>
      </c>
      <c r="I264" s="18"/>
      <c r="J264" s="18">
        <v>1.573076923076923</v>
      </c>
      <c r="K264" s="18">
        <v>0.63569682151589246</v>
      </c>
      <c r="L264" s="18"/>
      <c r="M264" s="8">
        <v>40</v>
      </c>
      <c r="N264" s="22">
        <v>4.24E-2</v>
      </c>
      <c r="P264" s="18"/>
      <c r="Q264" s="18"/>
    </row>
    <row r="265" spans="1:17" s="8" customFormat="1" x14ac:dyDescent="0.3">
      <c r="A265" s="8">
        <v>44</v>
      </c>
      <c r="B265" s="19">
        <v>45191</v>
      </c>
      <c r="C265" s="3"/>
      <c r="D265" s="8">
        <v>55</v>
      </c>
      <c r="E265" s="18">
        <v>0.13748669274006609</v>
      </c>
      <c r="F265" s="18">
        <v>1.2115778336164409</v>
      </c>
      <c r="H265" s="18">
        <f t="shared" si="5"/>
        <v>0.11347739198040774</v>
      </c>
      <c r="I265" s="18"/>
      <c r="J265" s="18">
        <v>1.6845238095238095</v>
      </c>
      <c r="K265" s="18">
        <v>0.59363957597173145</v>
      </c>
      <c r="L265" s="18"/>
      <c r="N265" s="23">
        <v>3.8800000000000001E-2</v>
      </c>
      <c r="P265" s="18"/>
      <c r="Q265" s="18"/>
    </row>
    <row r="266" spans="1:17" s="8" customFormat="1" x14ac:dyDescent="0.3">
      <c r="B266" s="19"/>
      <c r="C266" s="3"/>
      <c r="E266" s="18"/>
      <c r="F266" s="18"/>
      <c r="H266" s="18"/>
      <c r="I266" s="18"/>
      <c r="J266" s="18"/>
      <c r="K266" s="18"/>
      <c r="L266" s="18"/>
      <c r="N266" s="23"/>
      <c r="P266" s="18"/>
      <c r="Q266" s="18"/>
    </row>
    <row r="267" spans="1:17" s="8" customFormat="1" x14ac:dyDescent="0.3">
      <c r="A267" s="8">
        <v>45</v>
      </c>
      <c r="B267" s="19">
        <v>45191</v>
      </c>
      <c r="C267" s="3"/>
      <c r="D267" s="8">
        <v>2</v>
      </c>
      <c r="E267" s="18">
        <v>9.9654783999510971E-2</v>
      </c>
      <c r="F267" s="18">
        <v>1.1196919994381012</v>
      </c>
      <c r="H267" s="18">
        <f t="shared" si="5"/>
        <v>8.9001961297857868E-2</v>
      </c>
      <c r="I267" s="18"/>
      <c r="J267" s="18">
        <v>1.4595744680851062</v>
      </c>
      <c r="K267" s="18">
        <v>0.685131195335277</v>
      </c>
      <c r="L267" s="18"/>
      <c r="N267" s="20">
        <v>4.1599999999999998E-2</v>
      </c>
      <c r="P267" s="18"/>
      <c r="Q267" s="18"/>
    </row>
    <row r="268" spans="1:17" s="8" customFormat="1" x14ac:dyDescent="0.3">
      <c r="A268" s="8">
        <v>45</v>
      </c>
      <c r="B268" s="19">
        <v>45191</v>
      </c>
      <c r="C268" s="3"/>
      <c r="D268" s="8">
        <v>10</v>
      </c>
      <c r="E268" s="18">
        <v>0.14302306962892786</v>
      </c>
      <c r="F268" s="18">
        <v>1.3201930704962066</v>
      </c>
      <c r="H268" s="18">
        <f t="shared" si="5"/>
        <v>0.10833496465420117</v>
      </c>
      <c r="I268" s="18"/>
      <c r="J268" s="18">
        <v>1.5496453900709222</v>
      </c>
      <c r="K268" s="18">
        <v>0.64530892448512578</v>
      </c>
      <c r="L268" s="18"/>
      <c r="N268" s="20">
        <v>4.07E-2</v>
      </c>
      <c r="P268" s="18"/>
      <c r="Q268" s="18"/>
    </row>
    <row r="269" spans="1:17" s="8" customFormat="1" x14ac:dyDescent="0.3">
      <c r="A269" s="8">
        <v>45</v>
      </c>
      <c r="B269" s="19">
        <v>45191</v>
      </c>
      <c r="C269" s="3"/>
      <c r="D269" s="8">
        <v>20</v>
      </c>
      <c r="E269" s="18">
        <v>0.1817777078509599</v>
      </c>
      <c r="F269" s="18">
        <v>1.8158755331000214</v>
      </c>
      <c r="H269" s="18">
        <f t="shared" si="5"/>
        <v>0.10010471782756671</v>
      </c>
      <c r="I269" s="18"/>
      <c r="J269" s="18">
        <v>1.5116883116883117</v>
      </c>
      <c r="K269" s="18">
        <v>0.66151202749140892</v>
      </c>
      <c r="L269" s="18"/>
      <c r="M269" s="8">
        <v>20</v>
      </c>
      <c r="N269" s="22">
        <v>5.5599999999999997E-2</v>
      </c>
      <c r="P269" s="18"/>
      <c r="Q269" s="18"/>
    </row>
    <row r="270" spans="1:17" s="8" customFormat="1" x14ac:dyDescent="0.3">
      <c r="A270" s="8">
        <v>45</v>
      </c>
      <c r="B270" s="19">
        <v>45191</v>
      </c>
      <c r="C270" s="3"/>
      <c r="D270" s="8">
        <v>30</v>
      </c>
      <c r="E270" s="18">
        <v>0.15686401185108212</v>
      </c>
      <c r="F270" s="18">
        <v>1.4516360003432147</v>
      </c>
      <c r="H270" s="18">
        <f t="shared" si="5"/>
        <v>0.10806015544805604</v>
      </c>
      <c r="I270" s="18"/>
      <c r="J270" s="18">
        <v>1.5483870967741935</v>
      </c>
      <c r="K270" s="18">
        <v>0.64583333333333337</v>
      </c>
      <c r="L270" s="18"/>
      <c r="N270" s="20">
        <v>4.1700000000000001E-2</v>
      </c>
      <c r="P270" s="18"/>
      <c r="Q270" s="18"/>
    </row>
    <row r="271" spans="1:17" s="8" customFormat="1" x14ac:dyDescent="0.3">
      <c r="A271" s="8">
        <v>45</v>
      </c>
      <c r="B271" s="19">
        <v>45191</v>
      </c>
      <c r="C271" s="3"/>
      <c r="D271" s="8">
        <v>40</v>
      </c>
      <c r="E271" s="18">
        <v>0.14302306962892783</v>
      </c>
      <c r="F271" s="18">
        <v>1.0970785526757074</v>
      </c>
      <c r="H271" s="18">
        <f t="shared" si="5"/>
        <v>0.13036720960418313</v>
      </c>
      <c r="I271" s="18"/>
      <c r="J271" s="18">
        <v>1.6485355648535565</v>
      </c>
      <c r="K271" s="18">
        <v>0.60659898477157359</v>
      </c>
      <c r="L271" s="18"/>
      <c r="N271" s="20">
        <v>4.5900000000000003E-2</v>
      </c>
      <c r="P271" s="18"/>
      <c r="Q271" s="18"/>
    </row>
    <row r="272" spans="1:17" s="8" customFormat="1" x14ac:dyDescent="0.3">
      <c r="A272" s="8">
        <v>45</v>
      </c>
      <c r="B272" s="19">
        <v>45191</v>
      </c>
      <c r="C272" s="3"/>
      <c r="D272" s="8">
        <v>55</v>
      </c>
      <c r="E272" s="18">
        <v>7.5663817481110202E-2</v>
      </c>
      <c r="F272" s="18">
        <v>0.57292489711336436</v>
      </c>
      <c r="H272" s="18">
        <f t="shared" si="5"/>
        <v>0.13206585690783593</v>
      </c>
      <c r="I272" s="18"/>
      <c r="J272" s="18">
        <v>1.6559999999999999</v>
      </c>
      <c r="K272" s="18">
        <v>0.60386473429951693</v>
      </c>
      <c r="L272" s="18"/>
      <c r="N272" s="20">
        <v>3.1E-2</v>
      </c>
      <c r="P272" s="18"/>
      <c r="Q272" s="18"/>
    </row>
    <row r="273" spans="1:17" s="8" customFormat="1" x14ac:dyDescent="0.3">
      <c r="A273" s="6"/>
      <c r="B273" s="6"/>
      <c r="C273" s="3"/>
      <c r="D273" s="3"/>
      <c r="E273" s="18"/>
      <c r="F273" s="18"/>
      <c r="H273" s="18"/>
      <c r="I273" s="18"/>
      <c r="J273" s="18"/>
      <c r="K273" s="18"/>
      <c r="L273" s="18"/>
      <c r="P273" s="18"/>
      <c r="Q273" s="18"/>
    </row>
    <row r="274" spans="1:17" s="8" customFormat="1" x14ac:dyDescent="0.3">
      <c r="A274" s="6"/>
      <c r="B274" s="6"/>
      <c r="C274" s="3"/>
      <c r="D274" s="3"/>
      <c r="E274" s="18"/>
      <c r="F274" s="18"/>
      <c r="H274" s="18"/>
      <c r="I274" s="18"/>
      <c r="J274" s="18"/>
      <c r="K274" s="18"/>
      <c r="L274" s="18"/>
      <c r="P274" s="18"/>
      <c r="Q274" s="18"/>
    </row>
    <row r="275" spans="1:17" s="8" customFormat="1" x14ac:dyDescent="0.3">
      <c r="A275" s="6"/>
      <c r="B275" s="6"/>
      <c r="C275" s="3"/>
      <c r="D275" s="3"/>
      <c r="E275" s="18"/>
      <c r="F275" s="18"/>
      <c r="H275" s="18"/>
      <c r="I275" s="18"/>
      <c r="J275" s="18"/>
      <c r="K275" s="18"/>
      <c r="L275" s="18"/>
      <c r="P275" s="18"/>
      <c r="Q275" s="18"/>
    </row>
    <row r="276" spans="1:17" s="8" customFormat="1" x14ac:dyDescent="0.3">
      <c r="A276" s="6"/>
      <c r="B276" s="6"/>
      <c r="C276" s="3"/>
      <c r="D276" s="3"/>
      <c r="E276" s="18"/>
      <c r="F276" s="18"/>
      <c r="H276" s="18"/>
      <c r="I276" s="18"/>
      <c r="J276" s="18"/>
      <c r="K276" s="18"/>
      <c r="L276" s="18"/>
      <c r="P276" s="18"/>
      <c r="Q276" s="18"/>
    </row>
    <row r="277" spans="1:17" s="8" customFormat="1" x14ac:dyDescent="0.3">
      <c r="A277" s="6"/>
      <c r="B277" s="6"/>
      <c r="C277" s="3"/>
      <c r="D277" s="3"/>
      <c r="E277" s="18"/>
      <c r="F277" s="18"/>
      <c r="H277" s="18"/>
      <c r="I277" s="18"/>
      <c r="J277" s="18"/>
      <c r="K277" s="18"/>
      <c r="L277" s="18"/>
      <c r="P277" s="18"/>
      <c r="Q277" s="18"/>
    </row>
    <row r="278" spans="1:17" s="8" customFormat="1" x14ac:dyDescent="0.3">
      <c r="A278" s="6"/>
      <c r="B278" s="6"/>
      <c r="C278" s="3"/>
      <c r="D278" s="3"/>
      <c r="E278" s="18"/>
      <c r="F278" s="18"/>
      <c r="H278" s="18"/>
      <c r="I278" s="18"/>
      <c r="J278" s="18"/>
      <c r="K278" s="18"/>
      <c r="L278" s="18"/>
      <c r="P278" s="18"/>
      <c r="Q278" s="18"/>
    </row>
    <row r="279" spans="1:17" s="8" customFormat="1" x14ac:dyDescent="0.3">
      <c r="A279" s="6"/>
      <c r="B279" s="6"/>
      <c r="C279" s="3"/>
      <c r="D279" s="3"/>
      <c r="E279" s="18"/>
      <c r="F279" s="18"/>
      <c r="H279" s="18"/>
      <c r="I279" s="18"/>
      <c r="J279" s="18"/>
      <c r="K279" s="18"/>
      <c r="L279" s="18"/>
      <c r="P279" s="18"/>
      <c r="Q279" s="18"/>
    </row>
    <row r="280" spans="1:17" s="8" customFormat="1" x14ac:dyDescent="0.3">
      <c r="A280" s="6"/>
      <c r="B280" s="6"/>
      <c r="C280" s="3"/>
      <c r="D280" s="3"/>
      <c r="E280" s="18"/>
      <c r="F280" s="18"/>
      <c r="H280" s="18"/>
      <c r="I280" s="18"/>
      <c r="J280" s="18"/>
      <c r="K280" s="18"/>
      <c r="L280" s="18"/>
      <c r="P280" s="18"/>
      <c r="Q280" s="18"/>
    </row>
    <row r="281" spans="1:17" s="8" customFormat="1" x14ac:dyDescent="0.3">
      <c r="A281" s="6"/>
      <c r="B281" s="6"/>
      <c r="C281" s="3"/>
      <c r="D281" s="3"/>
      <c r="E281" s="18"/>
      <c r="F281" s="18"/>
      <c r="H281" s="18"/>
      <c r="I281" s="18"/>
      <c r="J281" s="18"/>
      <c r="K281" s="18"/>
      <c r="L281" s="18"/>
      <c r="P281" s="18"/>
      <c r="Q281" s="18"/>
    </row>
    <row r="282" spans="1:17" s="8" customFormat="1" x14ac:dyDescent="0.3">
      <c r="A282" s="6"/>
      <c r="B282" s="6"/>
      <c r="C282" s="3"/>
      <c r="D282" s="3"/>
      <c r="E282" s="18"/>
      <c r="F282" s="18"/>
      <c r="H282" s="18"/>
      <c r="I282" s="18"/>
      <c r="J282" s="18"/>
      <c r="K282" s="18"/>
      <c r="L282" s="18"/>
      <c r="P282" s="18"/>
      <c r="Q282" s="18"/>
    </row>
    <row r="283" spans="1:17" s="8" customFormat="1" x14ac:dyDescent="0.3">
      <c r="A283" s="6"/>
      <c r="B283" s="6"/>
      <c r="C283" s="3"/>
      <c r="D283" s="3"/>
      <c r="E283" s="18"/>
      <c r="F283" s="18"/>
      <c r="H283" s="18"/>
      <c r="I283" s="18"/>
      <c r="J283" s="18"/>
      <c r="K283" s="18"/>
      <c r="L283" s="18"/>
      <c r="P283" s="18"/>
      <c r="Q283" s="18"/>
    </row>
    <row r="284" spans="1:17" s="8" customFormat="1" x14ac:dyDescent="0.3">
      <c r="A284" s="6"/>
      <c r="B284" s="6"/>
      <c r="C284" s="3"/>
      <c r="D284" s="3"/>
      <c r="E284" s="18"/>
      <c r="F284" s="18"/>
      <c r="H284" s="18"/>
      <c r="I284" s="18"/>
      <c r="J284" s="18"/>
      <c r="K284" s="18"/>
      <c r="L284" s="18"/>
      <c r="P284" s="18"/>
      <c r="Q284" s="18"/>
    </row>
    <row r="285" spans="1:17" s="8" customFormat="1" x14ac:dyDescent="0.3">
      <c r="A285" s="6"/>
      <c r="B285" s="6"/>
      <c r="C285" s="3"/>
      <c r="D285" s="3"/>
      <c r="E285" s="18"/>
      <c r="F285" s="18"/>
      <c r="H285" s="18"/>
      <c r="I285" s="18"/>
      <c r="J285" s="18"/>
      <c r="K285" s="18"/>
      <c r="L285" s="18"/>
      <c r="P285" s="18"/>
      <c r="Q285" s="18"/>
    </row>
    <row r="286" spans="1:17" s="8" customFormat="1" x14ac:dyDescent="0.3">
      <c r="A286" s="6"/>
      <c r="B286" s="6"/>
      <c r="C286" s="3"/>
      <c r="D286" s="3"/>
      <c r="E286" s="18"/>
      <c r="F286" s="18"/>
      <c r="H286" s="18"/>
      <c r="I286" s="18"/>
      <c r="J286" s="18"/>
      <c r="K286" s="18"/>
      <c r="L286" s="18"/>
      <c r="P286" s="18"/>
      <c r="Q286" s="18"/>
    </row>
    <row r="287" spans="1:17" s="8" customFormat="1" x14ac:dyDescent="0.3">
      <c r="A287" s="6"/>
      <c r="B287" s="6"/>
      <c r="C287" s="3"/>
      <c r="D287" s="3"/>
      <c r="E287" s="18"/>
      <c r="F287" s="18"/>
      <c r="H287" s="18"/>
      <c r="I287" s="18"/>
      <c r="J287" s="18"/>
      <c r="K287" s="18"/>
      <c r="L287" s="18"/>
      <c r="P287" s="18"/>
      <c r="Q287" s="18"/>
    </row>
    <row r="288" spans="1:17" s="8" customFormat="1" x14ac:dyDescent="0.3">
      <c r="A288" s="6"/>
      <c r="B288" s="6"/>
      <c r="C288" s="3"/>
      <c r="D288" s="3"/>
      <c r="E288" s="18"/>
      <c r="F288" s="18"/>
      <c r="H288" s="18"/>
      <c r="I288" s="18"/>
      <c r="J288" s="18"/>
      <c r="K288" s="18"/>
      <c r="L288" s="18"/>
      <c r="P288" s="18"/>
      <c r="Q288" s="18"/>
    </row>
    <row r="289" spans="1:17" s="8" customFormat="1" x14ac:dyDescent="0.3">
      <c r="A289" s="6"/>
      <c r="B289" s="6"/>
      <c r="C289" s="3"/>
      <c r="D289" s="3"/>
      <c r="E289" s="18"/>
      <c r="F289" s="18"/>
      <c r="H289" s="18"/>
      <c r="I289" s="18"/>
      <c r="J289" s="18"/>
      <c r="K289" s="18"/>
      <c r="L289" s="18"/>
      <c r="P289" s="18"/>
      <c r="Q289" s="18"/>
    </row>
    <row r="290" spans="1:17" s="8" customFormat="1" x14ac:dyDescent="0.3">
      <c r="A290" s="6"/>
      <c r="B290" s="6"/>
      <c r="C290" s="3"/>
      <c r="D290" s="3"/>
      <c r="E290" s="18"/>
      <c r="F290" s="18"/>
      <c r="H290" s="18"/>
      <c r="I290" s="18"/>
      <c r="J290" s="18"/>
      <c r="K290" s="18"/>
      <c r="L290" s="18"/>
      <c r="P290" s="18"/>
      <c r="Q290" s="18"/>
    </row>
    <row r="291" spans="1:17" s="8" customFormat="1" x14ac:dyDescent="0.3">
      <c r="A291" s="6"/>
      <c r="B291" s="6"/>
      <c r="C291" s="3"/>
      <c r="D291" s="3"/>
      <c r="E291" s="18"/>
      <c r="F291" s="18"/>
      <c r="H291" s="18"/>
      <c r="I291" s="18"/>
      <c r="J291" s="18"/>
      <c r="K291" s="18"/>
      <c r="L291" s="18"/>
      <c r="P291" s="18"/>
      <c r="Q291" s="18"/>
    </row>
    <row r="292" spans="1:17" s="8" customFormat="1" x14ac:dyDescent="0.3">
      <c r="A292" s="6"/>
      <c r="B292" s="6"/>
      <c r="C292" s="3"/>
      <c r="D292" s="3"/>
      <c r="E292" s="18"/>
      <c r="F292" s="18"/>
      <c r="H292" s="18"/>
      <c r="I292" s="18"/>
      <c r="J292" s="18"/>
      <c r="K292" s="18"/>
      <c r="L292" s="18"/>
      <c r="P292" s="18"/>
      <c r="Q292" s="18"/>
    </row>
    <row r="293" spans="1:17" s="8" customFormat="1" x14ac:dyDescent="0.3">
      <c r="A293" s="6"/>
      <c r="B293" s="6"/>
      <c r="C293" s="3"/>
      <c r="D293" s="3"/>
      <c r="E293" s="18"/>
      <c r="F293" s="18"/>
      <c r="H293" s="18"/>
      <c r="I293" s="18"/>
      <c r="J293" s="18"/>
      <c r="K293" s="18"/>
      <c r="L293" s="18"/>
      <c r="P293" s="18"/>
      <c r="Q293" s="18"/>
    </row>
    <row r="294" spans="1:17" s="8" customFormat="1" x14ac:dyDescent="0.3">
      <c r="A294" s="6"/>
      <c r="B294" s="6"/>
      <c r="C294" s="3"/>
      <c r="D294" s="3"/>
      <c r="E294" s="18"/>
      <c r="F294" s="18"/>
      <c r="H294" s="18"/>
      <c r="I294" s="18"/>
      <c r="J294" s="18"/>
      <c r="K294" s="18"/>
      <c r="L294" s="18"/>
      <c r="P294" s="18"/>
      <c r="Q294" s="18"/>
    </row>
    <row r="295" spans="1:17" s="8" customFormat="1" x14ac:dyDescent="0.3">
      <c r="A295" s="6"/>
      <c r="B295" s="6"/>
      <c r="C295" s="3"/>
      <c r="D295" s="3"/>
      <c r="E295" s="18"/>
      <c r="F295" s="18"/>
      <c r="H295" s="18"/>
      <c r="I295" s="18"/>
      <c r="J295" s="18"/>
      <c r="K295" s="18"/>
      <c r="L295" s="18"/>
      <c r="P295" s="18"/>
      <c r="Q295" s="18"/>
    </row>
    <row r="296" spans="1:17" s="8" customFormat="1" x14ac:dyDescent="0.3">
      <c r="A296" s="6"/>
      <c r="B296" s="6"/>
      <c r="C296" s="3"/>
      <c r="D296" s="3"/>
      <c r="E296" s="18"/>
      <c r="F296" s="18"/>
      <c r="H296" s="18"/>
      <c r="I296" s="18"/>
      <c r="J296" s="18"/>
      <c r="K296" s="18"/>
      <c r="L296" s="18"/>
      <c r="P296" s="18"/>
      <c r="Q296" s="18"/>
    </row>
    <row r="297" spans="1:17" s="8" customFormat="1" x14ac:dyDescent="0.3">
      <c r="A297" s="6"/>
      <c r="B297" s="6"/>
      <c r="C297" s="3"/>
      <c r="D297" s="3"/>
      <c r="E297" s="18"/>
      <c r="F297" s="18"/>
      <c r="H297" s="18"/>
      <c r="I297" s="18"/>
      <c r="J297" s="18"/>
      <c r="K297" s="18"/>
      <c r="L297" s="18"/>
      <c r="P297" s="18"/>
      <c r="Q297" s="18"/>
    </row>
    <row r="298" spans="1:17" s="8" customFormat="1" x14ac:dyDescent="0.3">
      <c r="A298" s="6"/>
      <c r="B298" s="6"/>
      <c r="C298" s="3"/>
      <c r="D298" s="3"/>
      <c r="E298" s="18"/>
      <c r="F298" s="18"/>
      <c r="H298" s="18"/>
      <c r="I298" s="18"/>
      <c r="J298" s="18"/>
      <c r="K298" s="18"/>
      <c r="L298" s="18"/>
      <c r="P298" s="18"/>
      <c r="Q298" s="18"/>
    </row>
    <row r="299" spans="1:17" s="8" customFormat="1" x14ac:dyDescent="0.3">
      <c r="A299" s="6"/>
      <c r="B299" s="6"/>
      <c r="C299" s="3"/>
      <c r="D299" s="3"/>
      <c r="E299" s="18"/>
      <c r="F299" s="18"/>
      <c r="H299" s="18"/>
      <c r="I299" s="18"/>
      <c r="J299" s="18"/>
      <c r="K299" s="18"/>
      <c r="L299" s="18"/>
      <c r="P299" s="18"/>
      <c r="Q299" s="18"/>
    </row>
    <row r="300" spans="1:17" s="8" customFormat="1" x14ac:dyDescent="0.3">
      <c r="A300" s="6"/>
      <c r="B300" s="6"/>
      <c r="C300" s="3"/>
      <c r="D300" s="3"/>
      <c r="E300" s="18"/>
      <c r="F300" s="18"/>
      <c r="H300" s="18"/>
      <c r="I300" s="18"/>
      <c r="J300" s="18"/>
      <c r="K300" s="18"/>
      <c r="L300" s="18"/>
      <c r="P300" s="18"/>
      <c r="Q300" s="18"/>
    </row>
    <row r="301" spans="1:17" s="8" customFormat="1" x14ac:dyDescent="0.3">
      <c r="A301" s="6"/>
      <c r="B301" s="6"/>
      <c r="C301" s="3"/>
      <c r="D301" s="3"/>
      <c r="E301" s="18"/>
      <c r="F301" s="18"/>
      <c r="H301" s="18"/>
      <c r="I301" s="18"/>
      <c r="J301" s="18"/>
      <c r="K301" s="18"/>
      <c r="L301" s="18"/>
      <c r="P301" s="18"/>
      <c r="Q301" s="18"/>
    </row>
    <row r="302" spans="1:17" s="8" customFormat="1" x14ac:dyDescent="0.3">
      <c r="A302" s="6"/>
      <c r="B302" s="6"/>
      <c r="C302" s="3"/>
      <c r="D302" s="3"/>
      <c r="E302" s="18"/>
      <c r="F302" s="18"/>
      <c r="H302" s="18"/>
      <c r="I302" s="18"/>
      <c r="J302" s="18"/>
      <c r="K302" s="18"/>
      <c r="L302" s="18"/>
      <c r="P302" s="18"/>
      <c r="Q302" s="18"/>
    </row>
    <row r="303" spans="1:17" s="8" customFormat="1" x14ac:dyDescent="0.3">
      <c r="A303" s="6"/>
      <c r="B303" s="6"/>
      <c r="C303" s="3"/>
      <c r="D303" s="3"/>
      <c r="E303" s="18"/>
      <c r="F303" s="18"/>
      <c r="H303" s="18"/>
      <c r="I303" s="18"/>
      <c r="J303" s="18"/>
      <c r="K303" s="18"/>
      <c r="L303" s="18"/>
      <c r="P303" s="18"/>
      <c r="Q303" s="18"/>
    </row>
    <row r="304" spans="1:17" s="8" customFormat="1" x14ac:dyDescent="0.3">
      <c r="A304" s="6"/>
      <c r="B304" s="6"/>
      <c r="C304" s="3"/>
      <c r="D304" s="3"/>
      <c r="E304" s="18"/>
      <c r="F304" s="18"/>
      <c r="H304" s="18"/>
      <c r="I304" s="18"/>
      <c r="J304" s="18"/>
      <c r="K304" s="18"/>
      <c r="L304" s="18"/>
      <c r="P304" s="18"/>
      <c r="Q304" s="18"/>
    </row>
    <row r="305" spans="1:17" s="8" customFormat="1" x14ac:dyDescent="0.3">
      <c r="A305" s="6"/>
      <c r="B305" s="6"/>
      <c r="C305" s="3"/>
      <c r="D305" s="3"/>
      <c r="E305" s="18"/>
      <c r="F305" s="18"/>
      <c r="H305" s="18"/>
      <c r="I305" s="18"/>
      <c r="J305" s="18"/>
      <c r="K305" s="18"/>
      <c r="L305" s="18"/>
      <c r="P305" s="18"/>
      <c r="Q305" s="18"/>
    </row>
    <row r="306" spans="1:17" s="8" customFormat="1" x14ac:dyDescent="0.3">
      <c r="A306" s="6"/>
      <c r="B306" s="6"/>
      <c r="C306" s="3"/>
      <c r="D306" s="3"/>
      <c r="E306" s="18"/>
      <c r="F306" s="18"/>
      <c r="H306" s="18"/>
      <c r="I306" s="18"/>
      <c r="J306" s="18"/>
      <c r="K306" s="18"/>
      <c r="L306" s="18"/>
      <c r="P306" s="18"/>
      <c r="Q306" s="18"/>
    </row>
    <row r="307" spans="1:17" s="8" customFormat="1" x14ac:dyDescent="0.3">
      <c r="A307" s="6"/>
      <c r="B307" s="6"/>
      <c r="C307" s="3"/>
      <c r="D307" s="3"/>
      <c r="E307" s="18"/>
      <c r="F307" s="18"/>
      <c r="H307" s="18"/>
      <c r="I307" s="18"/>
      <c r="J307" s="18"/>
      <c r="K307" s="18"/>
      <c r="L307" s="18"/>
      <c r="P307" s="18"/>
      <c r="Q307" s="18"/>
    </row>
    <row r="308" spans="1:17" s="8" customFormat="1" x14ac:dyDescent="0.3">
      <c r="A308" s="6"/>
      <c r="B308" s="6"/>
      <c r="C308" s="3"/>
      <c r="D308" s="3"/>
      <c r="E308" s="18"/>
      <c r="F308" s="18"/>
      <c r="H308" s="18"/>
      <c r="I308" s="18"/>
      <c r="J308" s="18"/>
      <c r="K308" s="18"/>
      <c r="L308" s="18"/>
      <c r="P308" s="18"/>
      <c r="Q308" s="18"/>
    </row>
    <row r="309" spans="1:17" s="8" customFormat="1" x14ac:dyDescent="0.3">
      <c r="A309" s="6"/>
      <c r="B309" s="6"/>
      <c r="C309" s="3"/>
      <c r="D309" s="3"/>
      <c r="E309" s="18"/>
      <c r="F309" s="18"/>
      <c r="H309" s="18"/>
      <c r="I309" s="18"/>
      <c r="J309" s="18"/>
      <c r="K309" s="18"/>
      <c r="L309" s="18"/>
      <c r="P309" s="18"/>
      <c r="Q309" s="18"/>
    </row>
    <row r="310" spans="1:17" s="8" customFormat="1" x14ac:dyDescent="0.3">
      <c r="A310" s="6"/>
      <c r="B310" s="6"/>
      <c r="C310" s="3"/>
      <c r="D310" s="3"/>
      <c r="E310" s="18"/>
      <c r="F310" s="18"/>
      <c r="H310" s="18"/>
      <c r="I310" s="18"/>
      <c r="J310" s="18"/>
      <c r="K310" s="18"/>
      <c r="L310" s="18"/>
      <c r="P310" s="18"/>
      <c r="Q310" s="18"/>
    </row>
    <row r="311" spans="1:17" s="8" customFormat="1" x14ac:dyDescent="0.3">
      <c r="A311" s="6"/>
      <c r="B311" s="6"/>
      <c r="C311" s="3"/>
      <c r="D311" s="3"/>
      <c r="E311" s="18"/>
      <c r="F311" s="18"/>
      <c r="H311" s="18"/>
      <c r="I311" s="18"/>
      <c r="J311" s="18"/>
      <c r="K311" s="18"/>
      <c r="L311" s="18"/>
      <c r="P311" s="18"/>
      <c r="Q311" s="18"/>
    </row>
    <row r="312" spans="1:17" s="8" customFormat="1" x14ac:dyDescent="0.3">
      <c r="A312" s="6"/>
      <c r="B312" s="6"/>
      <c r="C312" s="3"/>
      <c r="D312" s="3"/>
      <c r="E312" s="18"/>
      <c r="F312" s="18"/>
      <c r="H312" s="18"/>
      <c r="I312" s="18"/>
      <c r="J312" s="18"/>
      <c r="K312" s="18"/>
      <c r="L312" s="18"/>
      <c r="P312" s="18"/>
      <c r="Q312" s="18"/>
    </row>
    <row r="313" spans="1:17" s="8" customFormat="1" x14ac:dyDescent="0.3">
      <c r="A313" s="6"/>
      <c r="B313" s="6"/>
      <c r="C313" s="3"/>
      <c r="D313" s="3"/>
      <c r="E313" s="18"/>
      <c r="F313" s="18"/>
      <c r="H313" s="18"/>
      <c r="I313" s="18"/>
      <c r="J313" s="18"/>
      <c r="K313" s="18"/>
      <c r="L313" s="18"/>
      <c r="P313" s="18"/>
      <c r="Q313" s="18"/>
    </row>
    <row r="314" spans="1:17" s="8" customFormat="1" x14ac:dyDescent="0.3">
      <c r="A314" s="6"/>
      <c r="B314" s="6"/>
      <c r="C314" s="3"/>
      <c r="D314" s="3"/>
      <c r="E314" s="18"/>
      <c r="F314" s="18"/>
      <c r="H314" s="18"/>
      <c r="I314" s="18"/>
      <c r="J314" s="18"/>
      <c r="K314" s="18"/>
      <c r="L314" s="18"/>
      <c r="P314" s="18"/>
      <c r="Q314" s="18"/>
    </row>
    <row r="315" spans="1:17" s="8" customFormat="1" x14ac:dyDescent="0.3">
      <c r="A315" s="6"/>
      <c r="B315" s="6"/>
      <c r="C315" s="3"/>
      <c r="D315" s="3"/>
      <c r="E315" s="18"/>
      <c r="F315" s="18"/>
      <c r="H315" s="18"/>
      <c r="I315" s="18"/>
      <c r="J315" s="18"/>
      <c r="K315" s="18"/>
      <c r="L315" s="18"/>
      <c r="P315" s="18"/>
      <c r="Q315" s="18"/>
    </row>
    <row r="316" spans="1:17" s="8" customFormat="1" x14ac:dyDescent="0.3">
      <c r="A316" s="6"/>
      <c r="B316" s="6"/>
      <c r="C316" s="3"/>
      <c r="D316" s="3"/>
      <c r="E316" s="18"/>
      <c r="F316" s="18"/>
      <c r="H316" s="18"/>
      <c r="I316" s="18"/>
      <c r="J316" s="18"/>
      <c r="K316" s="18"/>
      <c r="L316" s="18"/>
      <c r="P316" s="18"/>
      <c r="Q316" s="18"/>
    </row>
    <row r="317" spans="1:17" s="8" customFormat="1" x14ac:dyDescent="0.3">
      <c r="A317" s="6"/>
      <c r="B317" s="6"/>
      <c r="C317" s="3"/>
      <c r="D317" s="3"/>
      <c r="E317" s="18"/>
      <c r="F317" s="18"/>
      <c r="H317" s="18"/>
      <c r="I317" s="18"/>
      <c r="J317" s="18"/>
      <c r="K317" s="18"/>
      <c r="L317" s="18"/>
      <c r="P317" s="18"/>
      <c r="Q317" s="18"/>
    </row>
    <row r="318" spans="1:17" s="8" customFormat="1" x14ac:dyDescent="0.3">
      <c r="A318" s="6"/>
      <c r="B318" s="6"/>
      <c r="C318" s="3"/>
      <c r="D318" s="3"/>
      <c r="E318" s="18"/>
      <c r="F318" s="18"/>
      <c r="H318" s="18"/>
      <c r="I318" s="18"/>
      <c r="J318" s="18"/>
      <c r="K318" s="18"/>
      <c r="L318" s="18"/>
      <c r="P318" s="18"/>
      <c r="Q318" s="18"/>
    </row>
    <row r="319" spans="1:17" s="8" customFormat="1" x14ac:dyDescent="0.3">
      <c r="A319" s="6"/>
      <c r="B319" s="6"/>
      <c r="C319" s="3"/>
      <c r="D319" s="3"/>
      <c r="E319" s="18"/>
      <c r="F319" s="18"/>
      <c r="H319" s="18"/>
      <c r="I319" s="18"/>
      <c r="J319" s="18"/>
      <c r="K319" s="18"/>
      <c r="L319" s="18"/>
      <c r="P319" s="18"/>
      <c r="Q319" s="18"/>
    </row>
    <row r="320" spans="1:17" s="8" customFormat="1" x14ac:dyDescent="0.3">
      <c r="A320" s="6"/>
      <c r="B320" s="6"/>
      <c r="C320" s="3"/>
      <c r="D320" s="3"/>
      <c r="E320" s="18"/>
      <c r="F320" s="18"/>
      <c r="H320" s="18"/>
      <c r="I320" s="18"/>
      <c r="J320" s="18"/>
      <c r="K320" s="18"/>
      <c r="L320" s="18"/>
      <c r="P320" s="18"/>
      <c r="Q320" s="18"/>
    </row>
    <row r="321" spans="1:17" s="8" customFormat="1" x14ac:dyDescent="0.3">
      <c r="A321" s="6"/>
      <c r="B321" s="6"/>
      <c r="C321" s="3"/>
      <c r="D321" s="3"/>
      <c r="E321" s="18"/>
      <c r="F321" s="18"/>
      <c r="H321" s="18"/>
      <c r="I321" s="18"/>
      <c r="J321" s="18"/>
      <c r="K321" s="18"/>
      <c r="L321" s="18"/>
      <c r="P321" s="18"/>
      <c r="Q321" s="18"/>
    </row>
    <row r="322" spans="1:17" s="8" customFormat="1" x14ac:dyDescent="0.3">
      <c r="A322" s="6"/>
      <c r="B322" s="6"/>
      <c r="C322" s="3"/>
      <c r="D322" s="3"/>
      <c r="E322" s="18"/>
      <c r="F322" s="18"/>
      <c r="H322" s="18"/>
      <c r="I322" s="18"/>
      <c r="J322" s="18"/>
      <c r="K322" s="18"/>
      <c r="L322" s="18"/>
      <c r="P322" s="18"/>
      <c r="Q322" s="18"/>
    </row>
    <row r="323" spans="1:17" s="8" customFormat="1" x14ac:dyDescent="0.3">
      <c r="A323" s="6"/>
      <c r="B323" s="6"/>
      <c r="C323" s="3"/>
      <c r="D323" s="3"/>
      <c r="E323" s="18"/>
      <c r="F323" s="18"/>
      <c r="H323" s="18"/>
      <c r="I323" s="18"/>
      <c r="J323" s="18"/>
      <c r="K323" s="18"/>
      <c r="L323" s="18"/>
      <c r="P323" s="18"/>
      <c r="Q323" s="18"/>
    </row>
    <row r="324" spans="1:17" s="8" customFormat="1" x14ac:dyDescent="0.3">
      <c r="A324" s="6"/>
      <c r="B324" s="6"/>
      <c r="C324" s="3"/>
      <c r="D324" s="3"/>
      <c r="E324" s="18"/>
      <c r="F324" s="18"/>
      <c r="H324" s="18"/>
      <c r="I324" s="18"/>
      <c r="J324" s="18"/>
      <c r="K324" s="18"/>
      <c r="L324" s="18"/>
      <c r="P324" s="18"/>
      <c r="Q324" s="18"/>
    </row>
    <row r="325" spans="1:17" s="8" customFormat="1" x14ac:dyDescent="0.3">
      <c r="A325" s="6"/>
      <c r="B325" s="6"/>
      <c r="C325" s="3"/>
      <c r="D325" s="3"/>
      <c r="E325" s="18"/>
      <c r="F325" s="18"/>
      <c r="H325" s="18"/>
      <c r="I325" s="18"/>
      <c r="J325" s="18"/>
      <c r="K325" s="18"/>
      <c r="L325" s="18"/>
      <c r="P325" s="18"/>
      <c r="Q325" s="18"/>
    </row>
    <row r="326" spans="1:17" s="8" customFormat="1" x14ac:dyDescent="0.3">
      <c r="A326" s="6"/>
      <c r="B326" s="6"/>
      <c r="C326" s="3"/>
      <c r="D326" s="3"/>
      <c r="E326" s="18"/>
      <c r="F326" s="18"/>
      <c r="H326" s="18"/>
      <c r="I326" s="18"/>
      <c r="J326" s="18"/>
      <c r="K326" s="18"/>
      <c r="L326" s="18"/>
      <c r="P326" s="18"/>
      <c r="Q326" s="18"/>
    </row>
    <row r="327" spans="1:17" s="8" customFormat="1" x14ac:dyDescent="0.3">
      <c r="A327" s="6"/>
      <c r="B327" s="6"/>
      <c r="C327" s="3"/>
      <c r="D327" s="3"/>
      <c r="E327" s="18"/>
      <c r="F327" s="18"/>
      <c r="H327" s="18"/>
      <c r="I327" s="18"/>
      <c r="J327" s="18"/>
      <c r="K327" s="18"/>
      <c r="L327" s="18"/>
      <c r="P327" s="18"/>
      <c r="Q327" s="18"/>
    </row>
    <row r="328" spans="1:17" s="8" customFormat="1" x14ac:dyDescent="0.3">
      <c r="A328" s="6"/>
      <c r="B328" s="6"/>
      <c r="C328" s="3"/>
      <c r="D328" s="3"/>
      <c r="E328" s="18"/>
      <c r="F328" s="18"/>
      <c r="H328" s="18"/>
      <c r="I328" s="18"/>
      <c r="J328" s="18"/>
      <c r="K328" s="18"/>
      <c r="L328" s="18"/>
      <c r="P328" s="18"/>
      <c r="Q328" s="18"/>
    </row>
    <row r="329" spans="1:17" s="8" customFormat="1" x14ac:dyDescent="0.3">
      <c r="A329" s="6"/>
      <c r="B329" s="6"/>
      <c r="C329" s="3"/>
      <c r="D329" s="3"/>
      <c r="E329" s="18"/>
      <c r="F329" s="18"/>
      <c r="H329" s="18"/>
      <c r="I329" s="18"/>
      <c r="J329" s="18"/>
      <c r="K329" s="18"/>
      <c r="L329" s="18"/>
      <c r="P329" s="18"/>
      <c r="Q329" s="18"/>
    </row>
    <row r="330" spans="1:17" s="8" customFormat="1" x14ac:dyDescent="0.3">
      <c r="A330" s="6"/>
      <c r="B330" s="6"/>
      <c r="C330" s="3"/>
      <c r="D330" s="3"/>
      <c r="E330" s="18"/>
      <c r="F330" s="18"/>
      <c r="H330" s="18"/>
      <c r="I330" s="18"/>
      <c r="J330" s="18"/>
      <c r="K330" s="18"/>
      <c r="L330" s="18"/>
      <c r="P330" s="18"/>
      <c r="Q330" s="18"/>
    </row>
    <row r="331" spans="1:17" s="8" customFormat="1" x14ac:dyDescent="0.3">
      <c r="A331" s="6"/>
      <c r="B331" s="6"/>
      <c r="C331" s="3"/>
      <c r="D331" s="3"/>
      <c r="E331" s="18"/>
      <c r="F331" s="18"/>
      <c r="H331" s="18"/>
      <c r="I331" s="18"/>
      <c r="J331" s="18"/>
      <c r="K331" s="18"/>
      <c r="L331" s="18"/>
      <c r="P331" s="18"/>
      <c r="Q331" s="18"/>
    </row>
    <row r="332" spans="1:17" s="8" customFormat="1" x14ac:dyDescent="0.3">
      <c r="A332" s="6"/>
      <c r="B332" s="6"/>
      <c r="C332" s="3"/>
      <c r="D332" s="3"/>
      <c r="E332" s="18"/>
      <c r="F332" s="18"/>
      <c r="H332" s="18"/>
      <c r="I332" s="18"/>
      <c r="J332" s="18"/>
      <c r="K332" s="18"/>
      <c r="L332" s="18"/>
      <c r="P332" s="18"/>
      <c r="Q332" s="18"/>
    </row>
    <row r="333" spans="1:17" s="8" customFormat="1" x14ac:dyDescent="0.3">
      <c r="A333" s="6"/>
      <c r="B333" s="6"/>
      <c r="C333" s="3"/>
      <c r="D333" s="3"/>
      <c r="E333" s="18"/>
      <c r="F333" s="18"/>
      <c r="H333" s="18"/>
      <c r="I333" s="18"/>
      <c r="J333" s="18"/>
      <c r="K333" s="18"/>
      <c r="L333" s="18"/>
      <c r="P333" s="18"/>
      <c r="Q333" s="18"/>
    </row>
    <row r="334" spans="1:17" s="8" customFormat="1" x14ac:dyDescent="0.3">
      <c r="A334" s="6"/>
      <c r="B334" s="6"/>
      <c r="C334" s="3"/>
      <c r="D334" s="3"/>
      <c r="E334" s="18"/>
      <c r="F334" s="18"/>
      <c r="H334" s="18"/>
      <c r="I334" s="18"/>
      <c r="J334" s="18"/>
      <c r="K334" s="18"/>
      <c r="L334" s="18"/>
      <c r="P334" s="18"/>
      <c r="Q334" s="18"/>
    </row>
    <row r="335" spans="1:17" s="8" customFormat="1" x14ac:dyDescent="0.3">
      <c r="A335" s="6"/>
      <c r="B335" s="6"/>
      <c r="C335" s="3"/>
      <c r="D335" s="3"/>
      <c r="E335" s="18"/>
      <c r="F335" s="18"/>
      <c r="H335" s="18"/>
      <c r="I335" s="18"/>
      <c r="J335" s="18"/>
      <c r="K335" s="18"/>
      <c r="L335" s="18"/>
      <c r="P335" s="18"/>
      <c r="Q335" s="18"/>
    </row>
    <row r="336" spans="1:17" s="8" customFormat="1" x14ac:dyDescent="0.3">
      <c r="A336" s="6"/>
      <c r="B336" s="6"/>
      <c r="C336" s="3"/>
      <c r="D336" s="3"/>
      <c r="E336" s="18"/>
      <c r="F336" s="18"/>
      <c r="H336" s="18"/>
      <c r="I336" s="18"/>
      <c r="J336" s="18"/>
      <c r="K336" s="18"/>
      <c r="L336" s="18"/>
      <c r="P336" s="18"/>
      <c r="Q336" s="18"/>
    </row>
    <row r="337" spans="1:17" s="8" customFormat="1" x14ac:dyDescent="0.3">
      <c r="A337" s="6"/>
      <c r="B337" s="6"/>
      <c r="C337" s="3"/>
      <c r="D337" s="3"/>
      <c r="E337" s="18"/>
      <c r="F337" s="18"/>
      <c r="H337" s="18"/>
      <c r="I337" s="18"/>
      <c r="J337" s="18"/>
      <c r="K337" s="18"/>
      <c r="L337" s="18"/>
      <c r="P337" s="18"/>
      <c r="Q337" s="18"/>
    </row>
    <row r="338" spans="1:17" s="8" customFormat="1" x14ac:dyDescent="0.3">
      <c r="A338" s="6"/>
      <c r="B338" s="6"/>
      <c r="C338" s="3"/>
      <c r="D338" s="3"/>
      <c r="E338" s="18"/>
      <c r="F338" s="18"/>
      <c r="H338" s="18"/>
      <c r="I338" s="18"/>
      <c r="J338" s="18"/>
      <c r="K338" s="18"/>
      <c r="L338" s="18"/>
      <c r="P338" s="18"/>
      <c r="Q338" s="18"/>
    </row>
    <row r="339" spans="1:17" s="8" customFormat="1" x14ac:dyDescent="0.3">
      <c r="A339" s="6"/>
      <c r="B339" s="6"/>
      <c r="C339" s="3"/>
      <c r="D339" s="3"/>
      <c r="E339" s="18"/>
      <c r="F339" s="18"/>
      <c r="H339" s="18"/>
      <c r="I339" s="18"/>
      <c r="J339" s="18"/>
      <c r="K339" s="18"/>
      <c r="L339" s="18"/>
      <c r="P339" s="18"/>
      <c r="Q339" s="18"/>
    </row>
    <row r="340" spans="1:17" s="8" customFormat="1" x14ac:dyDescent="0.3">
      <c r="A340" s="6"/>
      <c r="B340" s="6"/>
      <c r="C340" s="3"/>
      <c r="D340" s="3"/>
      <c r="E340" s="18"/>
      <c r="F340" s="18"/>
      <c r="H340" s="18"/>
      <c r="I340" s="18"/>
      <c r="J340" s="18"/>
      <c r="K340" s="18"/>
      <c r="L340" s="18"/>
      <c r="P340" s="18"/>
      <c r="Q340" s="18"/>
    </row>
    <row r="341" spans="1:17" s="8" customFormat="1" x14ac:dyDescent="0.3">
      <c r="A341" s="6"/>
      <c r="B341" s="6"/>
      <c r="C341" s="3"/>
      <c r="D341" s="3"/>
      <c r="E341" s="18"/>
      <c r="F341" s="18"/>
      <c r="H341" s="18"/>
      <c r="I341" s="18"/>
      <c r="J341" s="18"/>
      <c r="K341" s="18"/>
      <c r="L341" s="18"/>
      <c r="P341" s="18"/>
      <c r="Q341" s="18"/>
    </row>
    <row r="342" spans="1:17" s="8" customFormat="1" x14ac:dyDescent="0.3">
      <c r="A342" s="6"/>
      <c r="B342" s="6"/>
      <c r="C342" s="3"/>
      <c r="D342" s="3"/>
      <c r="E342" s="18"/>
      <c r="F342" s="18"/>
      <c r="H342" s="18"/>
      <c r="I342" s="18"/>
      <c r="J342" s="18"/>
      <c r="K342" s="18"/>
      <c r="L342" s="18"/>
      <c r="P342" s="18"/>
      <c r="Q342" s="18"/>
    </row>
    <row r="343" spans="1:17" s="8" customFormat="1" x14ac:dyDescent="0.3">
      <c r="A343" s="6"/>
      <c r="B343" s="6"/>
      <c r="C343" s="3"/>
      <c r="D343" s="3"/>
      <c r="E343" s="18"/>
      <c r="F343" s="18"/>
      <c r="H343" s="18"/>
      <c r="I343" s="18"/>
      <c r="J343" s="18"/>
      <c r="K343" s="18"/>
      <c r="L343" s="18"/>
      <c r="P343" s="18"/>
      <c r="Q343" s="18"/>
    </row>
    <row r="344" spans="1:17" s="8" customFormat="1" x14ac:dyDescent="0.3">
      <c r="A344" s="6"/>
      <c r="B344" s="6"/>
      <c r="C344" s="3"/>
      <c r="D344" s="3"/>
      <c r="E344" s="18"/>
      <c r="F344" s="18"/>
      <c r="H344" s="18"/>
      <c r="I344" s="18"/>
      <c r="J344" s="18"/>
      <c r="K344" s="18"/>
      <c r="L344" s="18"/>
      <c r="P344" s="18"/>
      <c r="Q344" s="18"/>
    </row>
    <row r="345" spans="1:17" s="8" customFormat="1" x14ac:dyDescent="0.3">
      <c r="A345" s="6"/>
      <c r="B345" s="6"/>
      <c r="C345" s="3"/>
      <c r="D345" s="3"/>
      <c r="E345" s="18"/>
      <c r="F345" s="18"/>
      <c r="H345" s="18"/>
      <c r="I345" s="18"/>
      <c r="J345" s="18"/>
      <c r="K345" s="18"/>
      <c r="L345" s="18"/>
      <c r="P345" s="18"/>
      <c r="Q345" s="18"/>
    </row>
    <row r="346" spans="1:17" s="8" customFormat="1" x14ac:dyDescent="0.3">
      <c r="A346" s="6"/>
      <c r="B346" s="6"/>
      <c r="C346" s="3"/>
      <c r="D346" s="3"/>
      <c r="E346" s="18"/>
      <c r="F346" s="18"/>
      <c r="H346" s="18"/>
      <c r="I346" s="18"/>
      <c r="J346" s="18"/>
      <c r="K346" s="18"/>
      <c r="L346" s="18"/>
      <c r="P346" s="18"/>
      <c r="Q346" s="18"/>
    </row>
    <row r="347" spans="1:17" s="8" customFormat="1" x14ac:dyDescent="0.3">
      <c r="A347" s="6"/>
      <c r="B347" s="6"/>
      <c r="C347" s="3"/>
      <c r="D347" s="3"/>
      <c r="E347" s="18"/>
      <c r="F347" s="18"/>
      <c r="H347" s="18"/>
      <c r="I347" s="18"/>
      <c r="J347" s="18"/>
      <c r="K347" s="18"/>
      <c r="L347" s="18"/>
      <c r="P347" s="18"/>
      <c r="Q347" s="18"/>
    </row>
    <row r="348" spans="1:17" s="8" customFormat="1" x14ac:dyDescent="0.3">
      <c r="A348" s="6"/>
      <c r="B348" s="6"/>
      <c r="C348" s="3"/>
      <c r="D348" s="3"/>
      <c r="E348" s="18"/>
      <c r="F348" s="18"/>
      <c r="H348" s="18"/>
      <c r="I348" s="18"/>
      <c r="J348" s="18"/>
      <c r="K348" s="18"/>
      <c r="L348" s="18"/>
      <c r="P348" s="18"/>
      <c r="Q348" s="18"/>
    </row>
    <row r="349" spans="1:17" s="8" customFormat="1" x14ac:dyDescent="0.3">
      <c r="A349" s="6"/>
      <c r="B349" s="6"/>
      <c r="C349" s="3"/>
      <c r="D349" s="3"/>
      <c r="E349" s="18"/>
      <c r="F349" s="18"/>
      <c r="H349" s="18"/>
      <c r="I349" s="18"/>
      <c r="J349" s="18"/>
      <c r="K349" s="18"/>
      <c r="L349" s="18"/>
      <c r="P349" s="18"/>
      <c r="Q349" s="18"/>
    </row>
    <row r="350" spans="1:17" s="8" customFormat="1" x14ac:dyDescent="0.3">
      <c r="A350" s="6"/>
      <c r="B350" s="6"/>
      <c r="C350" s="3"/>
      <c r="D350" s="3"/>
      <c r="E350" s="18"/>
      <c r="F350" s="18"/>
      <c r="H350" s="18"/>
      <c r="I350" s="18"/>
      <c r="J350" s="18"/>
      <c r="K350" s="18"/>
      <c r="L350" s="18"/>
      <c r="P350" s="18"/>
      <c r="Q350" s="18"/>
    </row>
    <row r="351" spans="1:17" s="8" customFormat="1" x14ac:dyDescent="0.3">
      <c r="A351" s="6"/>
      <c r="B351" s="6"/>
      <c r="C351" s="3"/>
      <c r="D351" s="3"/>
      <c r="E351" s="18"/>
      <c r="F351" s="18"/>
      <c r="H351" s="18"/>
      <c r="I351" s="18"/>
      <c r="J351" s="18"/>
      <c r="K351" s="18"/>
      <c r="L351" s="18"/>
      <c r="P351" s="18"/>
      <c r="Q351" s="18"/>
    </row>
    <row r="352" spans="1:17" s="8" customFormat="1" x14ac:dyDescent="0.3">
      <c r="A352" s="6"/>
      <c r="B352" s="6"/>
      <c r="C352" s="3"/>
      <c r="D352" s="3"/>
      <c r="E352" s="18"/>
      <c r="F352" s="18"/>
      <c r="H352" s="18"/>
      <c r="I352" s="18"/>
      <c r="J352" s="18"/>
      <c r="K352" s="18"/>
      <c r="L352" s="18"/>
      <c r="P352" s="18"/>
      <c r="Q352" s="18"/>
    </row>
    <row r="353" spans="1:17" s="8" customFormat="1" x14ac:dyDescent="0.3">
      <c r="A353" s="6"/>
      <c r="B353" s="6"/>
      <c r="C353" s="3"/>
      <c r="D353" s="3"/>
      <c r="E353" s="18"/>
      <c r="F353" s="18"/>
      <c r="H353" s="18"/>
      <c r="I353" s="18"/>
      <c r="J353" s="18"/>
      <c r="K353" s="18"/>
      <c r="L353" s="18"/>
      <c r="P353" s="18"/>
      <c r="Q353" s="18"/>
    </row>
    <row r="354" spans="1:17" s="8" customFormat="1" x14ac:dyDescent="0.3">
      <c r="A354" s="6"/>
      <c r="B354" s="6"/>
      <c r="C354" s="3"/>
      <c r="D354" s="3"/>
      <c r="E354" s="18"/>
      <c r="F354" s="18"/>
      <c r="H354" s="18"/>
      <c r="I354" s="18"/>
      <c r="J354" s="18"/>
      <c r="K354" s="18"/>
      <c r="L354" s="18"/>
      <c r="P354" s="18"/>
      <c r="Q354" s="18"/>
    </row>
    <row r="355" spans="1:17" s="8" customFormat="1" x14ac:dyDescent="0.3">
      <c r="A355" s="6"/>
      <c r="B355" s="6"/>
      <c r="C355" s="3"/>
      <c r="D355" s="3"/>
      <c r="E355" s="18"/>
      <c r="F355" s="18"/>
      <c r="H355" s="18"/>
      <c r="I355" s="18"/>
      <c r="J355" s="18"/>
      <c r="K355" s="18"/>
      <c r="L355" s="18"/>
      <c r="P355" s="18"/>
      <c r="Q355" s="18"/>
    </row>
    <row r="356" spans="1:17" s="8" customFormat="1" x14ac:dyDescent="0.3">
      <c r="A356" s="6"/>
      <c r="B356" s="6"/>
      <c r="C356" s="3"/>
      <c r="D356" s="3"/>
      <c r="E356" s="18"/>
      <c r="F356" s="18"/>
      <c r="H356" s="18"/>
      <c r="I356" s="18"/>
      <c r="J356" s="18"/>
      <c r="K356" s="18"/>
      <c r="L356" s="18"/>
      <c r="P356" s="18"/>
      <c r="Q356" s="18"/>
    </row>
    <row r="357" spans="1:17" s="8" customFormat="1" x14ac:dyDescent="0.3">
      <c r="A357" s="6"/>
      <c r="B357" s="6"/>
      <c r="C357" s="3"/>
      <c r="D357" s="3"/>
      <c r="E357" s="18"/>
      <c r="F357" s="18"/>
      <c r="H357" s="18"/>
      <c r="I357" s="18"/>
      <c r="J357" s="18"/>
      <c r="K357" s="18"/>
      <c r="L357" s="18"/>
      <c r="P357" s="18"/>
      <c r="Q357" s="18"/>
    </row>
    <row r="358" spans="1:17" s="8" customFormat="1" x14ac:dyDescent="0.3">
      <c r="A358" s="6"/>
      <c r="B358" s="6"/>
      <c r="C358" s="3"/>
      <c r="D358" s="3"/>
      <c r="E358" s="18"/>
      <c r="F358" s="18"/>
      <c r="H358" s="18"/>
      <c r="I358" s="18"/>
      <c r="J358" s="18"/>
      <c r="K358" s="18"/>
      <c r="L358" s="18"/>
      <c r="P358" s="18"/>
      <c r="Q358" s="18"/>
    </row>
    <row r="359" spans="1:17" s="8" customFormat="1" x14ac:dyDescent="0.3">
      <c r="A359" s="6"/>
      <c r="B359" s="6"/>
      <c r="C359" s="3"/>
      <c r="D359" s="3"/>
      <c r="E359" s="18"/>
      <c r="F359" s="18"/>
      <c r="H359" s="18"/>
      <c r="I359" s="18"/>
      <c r="J359" s="18"/>
      <c r="K359" s="18"/>
      <c r="L359" s="18"/>
      <c r="P359" s="18"/>
      <c r="Q359" s="18"/>
    </row>
    <row r="360" spans="1:17" s="8" customFormat="1" x14ac:dyDescent="0.3">
      <c r="A360" s="6"/>
      <c r="B360" s="6"/>
      <c r="C360" s="3"/>
      <c r="D360" s="3"/>
      <c r="E360" s="18"/>
      <c r="F360" s="18"/>
      <c r="H360" s="18"/>
      <c r="I360" s="18"/>
      <c r="J360" s="18"/>
      <c r="K360" s="18"/>
      <c r="L360" s="18"/>
      <c r="P360" s="18"/>
      <c r="Q360" s="18"/>
    </row>
    <row r="361" spans="1:17" s="8" customFormat="1" x14ac:dyDescent="0.3">
      <c r="A361" s="6"/>
      <c r="B361" s="6"/>
      <c r="C361" s="3"/>
      <c r="D361" s="3"/>
      <c r="E361" s="18"/>
      <c r="F361" s="18"/>
      <c r="H361" s="18"/>
      <c r="I361" s="18"/>
      <c r="J361" s="18"/>
      <c r="K361" s="18"/>
      <c r="L361" s="18"/>
      <c r="P361" s="18"/>
      <c r="Q361" s="18"/>
    </row>
    <row r="362" spans="1:17" s="8" customFormat="1" x14ac:dyDescent="0.3">
      <c r="A362" s="6"/>
      <c r="B362" s="6"/>
      <c r="C362" s="3"/>
      <c r="D362" s="3"/>
      <c r="E362" s="18"/>
      <c r="F362" s="18"/>
      <c r="H362" s="18"/>
      <c r="I362" s="18"/>
      <c r="J362" s="18"/>
      <c r="K362" s="18"/>
      <c r="L362" s="18"/>
      <c r="P362" s="18"/>
      <c r="Q362" s="18"/>
    </row>
    <row r="363" spans="1:17" s="8" customFormat="1" x14ac:dyDescent="0.3">
      <c r="A363" s="6"/>
      <c r="B363" s="6"/>
      <c r="C363" s="3"/>
      <c r="D363" s="3"/>
      <c r="E363" s="18"/>
      <c r="F363" s="18"/>
      <c r="H363" s="18"/>
      <c r="I363" s="18"/>
      <c r="J363" s="18"/>
      <c r="K363" s="18"/>
      <c r="L363" s="18"/>
      <c r="P363" s="18"/>
      <c r="Q363" s="18"/>
    </row>
    <row r="364" spans="1:17" s="8" customFormat="1" x14ac:dyDescent="0.3">
      <c r="A364" s="6"/>
      <c r="B364" s="6"/>
      <c r="C364" s="3"/>
      <c r="D364" s="3"/>
      <c r="E364" s="18"/>
      <c r="F364" s="18"/>
      <c r="H364" s="18"/>
      <c r="I364" s="18"/>
      <c r="J364" s="18"/>
      <c r="K364" s="18"/>
      <c r="L364" s="18"/>
      <c r="P364" s="18"/>
      <c r="Q364" s="18"/>
    </row>
    <row r="365" spans="1:17" s="8" customFormat="1" x14ac:dyDescent="0.3">
      <c r="A365" s="6"/>
      <c r="B365" s="6"/>
      <c r="C365" s="3"/>
      <c r="D365" s="3"/>
      <c r="E365" s="18"/>
      <c r="F365" s="18"/>
      <c r="H365" s="18"/>
      <c r="I365" s="18"/>
      <c r="J365" s="18"/>
      <c r="K365" s="18"/>
      <c r="L365" s="18"/>
      <c r="P365" s="18"/>
      <c r="Q365" s="18"/>
    </row>
    <row r="366" spans="1:17" s="8" customFormat="1" x14ac:dyDescent="0.3">
      <c r="A366" s="6"/>
      <c r="B366" s="6"/>
      <c r="C366" s="3"/>
      <c r="D366" s="3"/>
      <c r="E366" s="18"/>
      <c r="F366" s="18"/>
      <c r="H366" s="18"/>
      <c r="I366" s="18"/>
      <c r="J366" s="18"/>
      <c r="K366" s="18"/>
      <c r="L366" s="18"/>
      <c r="P366" s="18"/>
      <c r="Q366" s="18"/>
    </row>
    <row r="367" spans="1:17" s="8" customFormat="1" x14ac:dyDescent="0.3">
      <c r="A367" s="6"/>
      <c r="B367" s="6"/>
      <c r="C367" s="3"/>
      <c r="D367" s="3"/>
      <c r="E367" s="18"/>
      <c r="F367" s="18"/>
      <c r="H367" s="18"/>
      <c r="I367" s="18"/>
      <c r="J367" s="18"/>
      <c r="K367" s="18"/>
      <c r="L367" s="18"/>
      <c r="P367" s="18"/>
      <c r="Q367" s="18"/>
    </row>
    <row r="368" spans="1:17" s="8" customFormat="1" x14ac:dyDescent="0.3">
      <c r="A368" s="6"/>
      <c r="B368" s="6"/>
      <c r="C368" s="3"/>
      <c r="D368" s="3"/>
      <c r="E368" s="18"/>
      <c r="F368" s="18"/>
      <c r="H368" s="18"/>
      <c r="I368" s="18"/>
      <c r="J368" s="18"/>
      <c r="K368" s="18"/>
      <c r="L368" s="18"/>
      <c r="P368" s="18"/>
      <c r="Q368" s="18"/>
    </row>
    <row r="369" spans="1:17" s="8" customFormat="1" x14ac:dyDescent="0.3">
      <c r="A369" s="6"/>
      <c r="B369" s="6"/>
      <c r="C369" s="3"/>
      <c r="D369" s="3"/>
      <c r="E369" s="18"/>
      <c r="F369" s="18"/>
      <c r="H369" s="18"/>
      <c r="I369" s="18"/>
      <c r="J369" s="18"/>
      <c r="K369" s="18"/>
      <c r="L369" s="18"/>
      <c r="P369" s="18"/>
      <c r="Q369" s="18"/>
    </row>
    <row r="370" spans="1:17" s="8" customFormat="1" x14ac:dyDescent="0.3">
      <c r="A370" s="6"/>
      <c r="B370" s="6"/>
      <c r="C370" s="3"/>
      <c r="D370" s="3"/>
      <c r="E370" s="18"/>
      <c r="F370" s="18"/>
      <c r="H370" s="18"/>
      <c r="I370" s="18"/>
      <c r="J370" s="18"/>
      <c r="K370" s="18"/>
      <c r="L370" s="18"/>
      <c r="P370" s="18"/>
      <c r="Q370" s="18"/>
    </row>
    <row r="371" spans="1:17" s="8" customFormat="1" x14ac:dyDescent="0.3">
      <c r="A371" s="6"/>
      <c r="B371" s="6"/>
      <c r="C371" s="3"/>
      <c r="D371" s="3"/>
      <c r="E371" s="18"/>
      <c r="F371" s="18"/>
      <c r="H371" s="18"/>
      <c r="I371" s="18"/>
      <c r="J371" s="18"/>
      <c r="K371" s="18"/>
      <c r="L371" s="18"/>
      <c r="P371" s="18"/>
      <c r="Q371" s="18"/>
    </row>
    <row r="372" spans="1:17" s="8" customFormat="1" x14ac:dyDescent="0.3">
      <c r="A372" s="6"/>
      <c r="B372" s="6"/>
      <c r="C372" s="3"/>
      <c r="D372" s="3"/>
      <c r="E372" s="18"/>
      <c r="F372" s="18"/>
      <c r="H372" s="18"/>
      <c r="I372" s="18"/>
      <c r="J372" s="18"/>
      <c r="K372" s="18"/>
      <c r="L372" s="18"/>
      <c r="P372" s="18"/>
      <c r="Q372" s="18"/>
    </row>
    <row r="373" spans="1:17" s="8" customFormat="1" x14ac:dyDescent="0.3">
      <c r="A373" s="6"/>
      <c r="B373" s="6"/>
      <c r="C373" s="3"/>
      <c r="D373" s="3"/>
      <c r="E373" s="18"/>
      <c r="F373" s="18"/>
      <c r="H373" s="18"/>
      <c r="I373" s="18"/>
      <c r="J373" s="18"/>
      <c r="K373" s="18"/>
      <c r="L373" s="18"/>
      <c r="P373" s="18"/>
      <c r="Q373" s="18"/>
    </row>
    <row r="374" spans="1:17" s="8" customFormat="1" x14ac:dyDescent="0.3">
      <c r="A374" s="6"/>
      <c r="B374" s="6"/>
      <c r="C374" s="3"/>
      <c r="D374" s="3"/>
      <c r="E374" s="18"/>
      <c r="F374" s="18"/>
      <c r="H374" s="18"/>
      <c r="I374" s="18"/>
      <c r="J374" s="18"/>
      <c r="K374" s="18"/>
      <c r="L374" s="18"/>
      <c r="P374" s="18"/>
      <c r="Q374" s="18"/>
    </row>
    <row r="375" spans="1:17" s="8" customFormat="1" x14ac:dyDescent="0.3">
      <c r="A375" s="6"/>
      <c r="B375" s="6"/>
      <c r="C375" s="3"/>
      <c r="D375" s="3"/>
      <c r="E375" s="18"/>
      <c r="F375" s="18"/>
      <c r="H375" s="18"/>
      <c r="I375" s="18"/>
      <c r="J375" s="18"/>
      <c r="K375" s="18"/>
      <c r="L375" s="18"/>
      <c r="P375" s="18"/>
      <c r="Q375" s="18"/>
    </row>
    <row r="376" spans="1:17" s="8" customFormat="1" x14ac:dyDescent="0.3">
      <c r="A376" s="6"/>
      <c r="B376" s="6"/>
      <c r="C376" s="3"/>
      <c r="D376" s="3"/>
      <c r="E376" s="18"/>
      <c r="F376" s="18"/>
      <c r="H376" s="18"/>
      <c r="I376" s="18"/>
      <c r="J376" s="18"/>
      <c r="K376" s="18"/>
      <c r="L376" s="18"/>
      <c r="P376" s="18"/>
      <c r="Q376" s="18"/>
    </row>
    <row r="377" spans="1:17" s="8" customFormat="1" x14ac:dyDescent="0.3">
      <c r="A377" s="6"/>
      <c r="B377" s="6"/>
      <c r="C377" s="3"/>
      <c r="D377" s="3"/>
      <c r="E377" s="18"/>
      <c r="F377" s="18"/>
      <c r="H377" s="18"/>
      <c r="I377" s="18"/>
      <c r="J377" s="18"/>
      <c r="K377" s="18"/>
      <c r="L377" s="18"/>
      <c r="P377" s="18"/>
      <c r="Q377" s="18"/>
    </row>
    <row r="378" spans="1:17" s="8" customFormat="1" x14ac:dyDescent="0.3">
      <c r="A378" s="6"/>
      <c r="B378" s="6"/>
      <c r="C378" s="3"/>
      <c r="D378" s="3"/>
      <c r="E378" s="18"/>
      <c r="F378" s="18"/>
      <c r="H378" s="18"/>
      <c r="I378" s="18"/>
      <c r="J378" s="18"/>
      <c r="K378" s="18"/>
      <c r="L378" s="18"/>
      <c r="P378" s="18"/>
      <c r="Q378" s="18"/>
    </row>
    <row r="379" spans="1:17" s="8" customFormat="1" x14ac:dyDescent="0.3">
      <c r="A379" s="6"/>
      <c r="B379" s="6"/>
      <c r="C379" s="3"/>
      <c r="D379" s="3"/>
      <c r="E379" s="18"/>
      <c r="F379" s="18"/>
      <c r="H379" s="18"/>
      <c r="I379" s="18"/>
      <c r="J379" s="18"/>
      <c r="K379" s="18"/>
      <c r="L379" s="18"/>
      <c r="P379" s="18"/>
      <c r="Q379" s="18"/>
    </row>
    <row r="380" spans="1:17" s="8" customFormat="1" x14ac:dyDescent="0.3">
      <c r="A380" s="6"/>
      <c r="B380" s="6"/>
      <c r="C380" s="3"/>
      <c r="D380" s="3"/>
      <c r="E380" s="18"/>
      <c r="F380" s="18"/>
      <c r="H380" s="18"/>
      <c r="I380" s="18"/>
      <c r="J380" s="18"/>
      <c r="K380" s="18"/>
      <c r="L380" s="18"/>
      <c r="P380" s="18"/>
      <c r="Q380" s="18"/>
    </row>
    <row r="381" spans="1:17" s="8" customFormat="1" x14ac:dyDescent="0.3">
      <c r="A381" s="6"/>
      <c r="B381" s="6"/>
      <c r="C381" s="3"/>
      <c r="D381" s="3"/>
      <c r="E381" s="18"/>
      <c r="F381" s="18"/>
      <c r="H381" s="18"/>
      <c r="I381" s="18"/>
      <c r="J381" s="18"/>
      <c r="K381" s="18"/>
      <c r="L381" s="18"/>
      <c r="P381" s="18"/>
      <c r="Q381" s="18"/>
    </row>
    <row r="382" spans="1:17" s="8" customFormat="1" x14ac:dyDescent="0.3">
      <c r="A382" s="6"/>
      <c r="B382" s="6"/>
      <c r="C382" s="3"/>
      <c r="D382" s="3"/>
      <c r="E382" s="18"/>
      <c r="F382" s="18"/>
      <c r="H382" s="18"/>
      <c r="I382" s="18"/>
      <c r="J382" s="18"/>
      <c r="K382" s="18"/>
      <c r="L382" s="18"/>
      <c r="P382" s="18"/>
      <c r="Q382" s="18"/>
    </row>
    <row r="383" spans="1:17" s="8" customFormat="1" x14ac:dyDescent="0.3">
      <c r="A383" s="6"/>
      <c r="B383" s="6"/>
      <c r="C383" s="3"/>
      <c r="D383" s="3"/>
      <c r="E383" s="18"/>
      <c r="F383" s="18"/>
      <c r="H383" s="18"/>
      <c r="I383" s="18"/>
      <c r="J383" s="18"/>
      <c r="K383" s="18"/>
      <c r="L383" s="18"/>
      <c r="P383" s="18"/>
      <c r="Q383" s="18"/>
    </row>
    <row r="384" spans="1:17" s="8" customFormat="1" x14ac:dyDescent="0.3">
      <c r="A384" s="6"/>
      <c r="B384" s="6"/>
      <c r="C384" s="3"/>
      <c r="D384" s="3"/>
      <c r="E384" s="18"/>
      <c r="F384" s="18"/>
      <c r="H384" s="18"/>
      <c r="I384" s="18"/>
      <c r="J384" s="18"/>
      <c r="K384" s="18"/>
      <c r="L384" s="18"/>
      <c r="P384" s="18"/>
      <c r="Q384" s="18"/>
    </row>
    <row r="385" spans="1:17" s="8" customFormat="1" x14ac:dyDescent="0.3">
      <c r="A385" s="6"/>
      <c r="B385" s="6"/>
      <c r="C385" s="3"/>
      <c r="D385" s="3"/>
      <c r="E385" s="18"/>
      <c r="F385" s="18"/>
      <c r="H385" s="18"/>
      <c r="I385" s="18"/>
      <c r="J385" s="18"/>
      <c r="K385" s="18"/>
      <c r="L385" s="18"/>
      <c r="P385" s="18"/>
      <c r="Q385" s="18"/>
    </row>
    <row r="386" spans="1:17" s="8" customFormat="1" x14ac:dyDescent="0.3">
      <c r="A386" s="6"/>
      <c r="B386" s="6"/>
      <c r="C386" s="3"/>
      <c r="D386" s="3"/>
      <c r="E386" s="18"/>
      <c r="F386" s="18"/>
      <c r="H386" s="18"/>
      <c r="I386" s="18"/>
      <c r="J386" s="18"/>
      <c r="K386" s="18"/>
      <c r="L386" s="18"/>
      <c r="P386" s="18"/>
      <c r="Q386" s="18"/>
    </row>
    <row r="387" spans="1:17" s="8" customFormat="1" x14ac:dyDescent="0.3">
      <c r="A387" s="6"/>
      <c r="B387" s="6"/>
      <c r="C387" s="3"/>
      <c r="D387" s="3"/>
      <c r="E387" s="18"/>
      <c r="F387" s="18"/>
      <c r="H387" s="18"/>
      <c r="I387" s="18"/>
      <c r="J387" s="18"/>
      <c r="K387" s="18"/>
      <c r="L387" s="18"/>
      <c r="P387" s="18"/>
      <c r="Q387" s="18"/>
    </row>
    <row r="388" spans="1:17" s="8" customFormat="1" x14ac:dyDescent="0.3">
      <c r="A388" s="6"/>
      <c r="B388" s="6"/>
      <c r="C388" s="3"/>
      <c r="D388" s="3"/>
      <c r="E388" s="18"/>
      <c r="F388" s="18"/>
      <c r="H388" s="18"/>
      <c r="I388" s="18"/>
      <c r="J388" s="18"/>
      <c r="K388" s="18"/>
      <c r="L388" s="18"/>
      <c r="P388" s="18"/>
      <c r="Q388" s="18"/>
    </row>
    <row r="389" spans="1:17" s="8" customFormat="1" x14ac:dyDescent="0.3">
      <c r="A389" s="6"/>
      <c r="B389" s="6"/>
      <c r="C389" s="3"/>
      <c r="D389" s="3"/>
      <c r="E389" s="18"/>
      <c r="F389" s="18"/>
      <c r="H389" s="18"/>
      <c r="I389" s="18"/>
      <c r="J389" s="18"/>
      <c r="K389" s="18"/>
      <c r="L389" s="18"/>
      <c r="P389" s="18"/>
      <c r="Q389" s="18"/>
    </row>
    <row r="390" spans="1:17" s="8" customFormat="1" x14ac:dyDescent="0.3">
      <c r="A390" s="6"/>
      <c r="B390" s="6"/>
      <c r="C390" s="3"/>
      <c r="D390" s="3"/>
      <c r="E390" s="18"/>
      <c r="F390" s="18"/>
      <c r="H390" s="18"/>
      <c r="I390" s="18"/>
      <c r="J390" s="18"/>
      <c r="K390" s="18"/>
      <c r="L390" s="18"/>
      <c r="P390" s="18"/>
      <c r="Q390" s="18"/>
    </row>
    <row r="391" spans="1:17" s="8" customFormat="1" x14ac:dyDescent="0.3">
      <c r="A391" s="6"/>
      <c r="B391" s="6"/>
      <c r="C391" s="3"/>
      <c r="D391" s="3"/>
      <c r="E391" s="18"/>
      <c r="F391" s="18"/>
      <c r="H391" s="18"/>
      <c r="I391" s="18"/>
      <c r="J391" s="18"/>
      <c r="K391" s="18"/>
      <c r="L391" s="18"/>
      <c r="P391" s="18"/>
      <c r="Q391" s="18"/>
    </row>
    <row r="392" spans="1:17" s="8" customFormat="1" x14ac:dyDescent="0.3">
      <c r="A392" s="6"/>
      <c r="B392" s="6"/>
      <c r="C392" s="3"/>
      <c r="D392" s="3"/>
      <c r="E392" s="18"/>
      <c r="F392" s="18"/>
      <c r="H392" s="18"/>
      <c r="I392" s="18"/>
      <c r="J392" s="18"/>
      <c r="K392" s="18"/>
      <c r="L392" s="18"/>
      <c r="P392" s="18"/>
      <c r="Q392" s="18"/>
    </row>
    <row r="393" spans="1:17" s="8" customFormat="1" x14ac:dyDescent="0.3">
      <c r="A393" s="6"/>
      <c r="B393" s="6"/>
      <c r="C393" s="3"/>
      <c r="D393" s="3"/>
      <c r="E393" s="18"/>
      <c r="F393" s="18"/>
      <c r="H393" s="18"/>
      <c r="I393" s="18"/>
      <c r="J393" s="18"/>
      <c r="K393" s="18"/>
      <c r="L393" s="18"/>
      <c r="P393" s="18"/>
      <c r="Q393" s="18"/>
    </row>
    <row r="394" spans="1:17" s="8" customFormat="1" x14ac:dyDescent="0.3">
      <c r="A394" s="6"/>
      <c r="B394" s="6"/>
      <c r="C394" s="3"/>
      <c r="D394" s="3"/>
      <c r="E394" s="18"/>
      <c r="F394" s="18"/>
      <c r="H394" s="18"/>
      <c r="I394" s="18"/>
      <c r="J394" s="18"/>
      <c r="K394" s="18"/>
      <c r="L394" s="18"/>
      <c r="P394" s="18"/>
      <c r="Q394" s="18"/>
    </row>
    <row r="395" spans="1:17" s="8" customFormat="1" x14ac:dyDescent="0.3">
      <c r="A395" s="6"/>
      <c r="B395" s="6"/>
      <c r="C395" s="3"/>
      <c r="D395" s="3"/>
      <c r="E395" s="18"/>
      <c r="F395" s="18"/>
      <c r="H395" s="18"/>
      <c r="I395" s="18"/>
      <c r="J395" s="18"/>
      <c r="K395" s="18"/>
      <c r="L395" s="18"/>
      <c r="P395" s="18"/>
      <c r="Q395" s="18"/>
    </row>
    <row r="396" spans="1:17" s="8" customFormat="1" x14ac:dyDescent="0.3">
      <c r="A396" s="6"/>
      <c r="B396" s="6"/>
      <c r="C396" s="3"/>
      <c r="D396" s="3"/>
      <c r="E396" s="18"/>
      <c r="F396" s="18"/>
      <c r="H396" s="18"/>
      <c r="I396" s="18"/>
      <c r="J396" s="18"/>
      <c r="K396" s="18"/>
      <c r="L396" s="18"/>
      <c r="P396" s="18"/>
      <c r="Q396" s="18"/>
    </row>
    <row r="397" spans="1:17" s="8" customFormat="1" x14ac:dyDescent="0.3">
      <c r="A397" s="6"/>
      <c r="B397" s="6"/>
      <c r="C397" s="3"/>
      <c r="D397" s="3"/>
      <c r="E397" s="18"/>
      <c r="F397" s="18"/>
      <c r="H397" s="18"/>
      <c r="I397" s="18"/>
      <c r="J397" s="18"/>
      <c r="K397" s="18"/>
      <c r="L397" s="18"/>
      <c r="P397" s="18"/>
      <c r="Q397" s="18"/>
    </row>
    <row r="398" spans="1:17" s="8" customFormat="1" x14ac:dyDescent="0.3">
      <c r="A398" s="6"/>
      <c r="B398" s="6"/>
      <c r="C398" s="3"/>
      <c r="D398" s="3"/>
      <c r="E398" s="18"/>
      <c r="F398" s="18"/>
      <c r="H398" s="18"/>
      <c r="I398" s="18"/>
      <c r="J398" s="18"/>
      <c r="K398" s="18"/>
      <c r="L398" s="18"/>
      <c r="P398" s="18"/>
      <c r="Q398" s="18"/>
    </row>
    <row r="399" spans="1:17" s="8" customFormat="1" x14ac:dyDescent="0.3">
      <c r="A399" s="6"/>
      <c r="B399" s="6"/>
      <c r="C399" s="3"/>
      <c r="D399" s="3"/>
      <c r="E399" s="18"/>
      <c r="F399" s="18"/>
      <c r="H399" s="18"/>
      <c r="I399" s="18"/>
      <c r="J399" s="18"/>
      <c r="K399" s="18"/>
      <c r="L399" s="18"/>
      <c r="P399" s="18"/>
      <c r="Q399" s="18"/>
    </row>
    <row r="400" spans="1:17" s="8" customFormat="1" x14ac:dyDescent="0.3">
      <c r="A400" s="6"/>
      <c r="B400" s="6"/>
      <c r="C400" s="3"/>
      <c r="D400" s="3"/>
      <c r="E400" s="18"/>
      <c r="F400" s="18"/>
      <c r="H400" s="18"/>
      <c r="I400" s="18"/>
      <c r="J400" s="18"/>
      <c r="K400" s="18"/>
      <c r="L400" s="18"/>
      <c r="P400" s="18"/>
      <c r="Q400" s="18"/>
    </row>
    <row r="401" spans="1:17" s="8" customFormat="1" x14ac:dyDescent="0.3">
      <c r="A401" s="6"/>
      <c r="B401" s="6"/>
      <c r="C401" s="3"/>
      <c r="D401" s="3"/>
      <c r="E401" s="18"/>
      <c r="F401" s="18"/>
      <c r="H401" s="18"/>
      <c r="I401" s="18"/>
      <c r="J401" s="18"/>
      <c r="K401" s="18"/>
      <c r="L401" s="18"/>
      <c r="P401" s="18"/>
      <c r="Q401" s="18"/>
    </row>
    <row r="402" spans="1:17" s="8" customFormat="1" x14ac:dyDescent="0.3">
      <c r="A402" s="6"/>
      <c r="B402" s="6"/>
      <c r="C402" s="3"/>
      <c r="D402" s="3"/>
      <c r="E402" s="18"/>
      <c r="F402" s="18"/>
      <c r="H402" s="18"/>
      <c r="I402" s="18"/>
      <c r="J402" s="18"/>
      <c r="K402" s="18"/>
      <c r="L402" s="18"/>
      <c r="P402" s="18"/>
      <c r="Q402" s="18"/>
    </row>
    <row r="403" spans="1:17" s="8" customFormat="1" x14ac:dyDescent="0.3">
      <c r="A403" s="6"/>
      <c r="B403" s="6"/>
      <c r="C403" s="3"/>
      <c r="D403" s="3"/>
      <c r="E403" s="18"/>
      <c r="F403" s="18"/>
      <c r="H403" s="18"/>
      <c r="I403" s="18"/>
      <c r="J403" s="18"/>
      <c r="K403" s="18"/>
      <c r="L403" s="18"/>
      <c r="P403" s="18"/>
      <c r="Q403" s="18"/>
    </row>
    <row r="404" spans="1:17" s="8" customFormat="1" x14ac:dyDescent="0.3">
      <c r="A404" s="6"/>
      <c r="B404" s="6"/>
      <c r="C404" s="3"/>
      <c r="D404" s="3"/>
      <c r="E404" s="18"/>
      <c r="F404" s="18"/>
      <c r="H404" s="18"/>
      <c r="I404" s="18"/>
      <c r="J404" s="18"/>
      <c r="K404" s="18"/>
      <c r="L404" s="18"/>
      <c r="P404" s="18"/>
      <c r="Q404" s="18"/>
    </row>
    <row r="405" spans="1:17" s="8" customFormat="1" x14ac:dyDescent="0.3">
      <c r="A405" s="6"/>
      <c r="B405" s="6"/>
      <c r="C405" s="3"/>
      <c r="D405" s="3"/>
      <c r="E405" s="18"/>
      <c r="F405" s="18"/>
      <c r="H405" s="18"/>
      <c r="I405" s="18"/>
      <c r="J405" s="18"/>
      <c r="K405" s="18"/>
      <c r="L405" s="18"/>
      <c r="P405" s="18"/>
      <c r="Q405" s="18"/>
    </row>
    <row r="406" spans="1:17" s="8" customFormat="1" x14ac:dyDescent="0.3">
      <c r="A406" s="6"/>
      <c r="B406" s="6"/>
      <c r="C406" s="3"/>
      <c r="D406" s="3"/>
      <c r="E406" s="18"/>
      <c r="F406" s="18"/>
      <c r="H406" s="18"/>
      <c r="I406" s="18"/>
      <c r="J406" s="18"/>
      <c r="K406" s="18"/>
      <c r="L406" s="18"/>
      <c r="P406" s="18"/>
      <c r="Q406" s="18"/>
    </row>
    <row r="407" spans="1:17" s="8" customFormat="1" x14ac:dyDescent="0.3">
      <c r="A407" s="6"/>
      <c r="B407" s="6"/>
      <c r="C407" s="3"/>
      <c r="D407" s="3"/>
      <c r="E407" s="18"/>
      <c r="F407" s="18"/>
      <c r="H407" s="18"/>
      <c r="I407" s="18"/>
      <c r="J407" s="18"/>
      <c r="K407" s="18"/>
      <c r="L407" s="18"/>
      <c r="P407" s="18"/>
      <c r="Q407" s="18"/>
    </row>
    <row r="408" spans="1:17" s="8" customFormat="1" x14ac:dyDescent="0.3">
      <c r="A408" s="6"/>
      <c r="B408" s="6"/>
      <c r="C408" s="3"/>
      <c r="D408" s="3"/>
      <c r="E408" s="18"/>
      <c r="F408" s="18"/>
      <c r="H408" s="18"/>
      <c r="I408" s="18"/>
      <c r="J408" s="18"/>
      <c r="K408" s="18"/>
      <c r="L408" s="18"/>
      <c r="P408" s="18"/>
      <c r="Q408" s="18"/>
    </row>
    <row r="409" spans="1:17" s="8" customFormat="1" x14ac:dyDescent="0.3">
      <c r="A409" s="6"/>
      <c r="B409" s="6"/>
      <c r="C409" s="3"/>
      <c r="D409" s="3"/>
      <c r="E409" s="18"/>
      <c r="F409" s="18"/>
      <c r="H409" s="18"/>
      <c r="I409" s="18"/>
      <c r="J409" s="18"/>
      <c r="K409" s="18"/>
      <c r="L409" s="18"/>
      <c r="P409" s="18"/>
      <c r="Q409" s="18"/>
    </row>
    <row r="410" spans="1:17" s="8" customFormat="1" x14ac:dyDescent="0.3">
      <c r="A410" s="6"/>
      <c r="B410" s="6"/>
      <c r="C410" s="3"/>
      <c r="D410" s="3"/>
      <c r="E410" s="18"/>
      <c r="F410" s="18"/>
      <c r="H410" s="18"/>
      <c r="I410" s="18"/>
      <c r="J410" s="18"/>
      <c r="K410" s="18"/>
      <c r="L410" s="18"/>
      <c r="P410" s="18"/>
      <c r="Q410" s="18"/>
    </row>
    <row r="411" spans="1:17" s="8" customFormat="1" x14ac:dyDescent="0.3">
      <c r="A411" s="6"/>
      <c r="B411" s="6"/>
      <c r="C411" s="3"/>
      <c r="D411" s="3"/>
      <c r="E411" s="18"/>
      <c r="F411" s="18"/>
      <c r="H411" s="18"/>
      <c r="I411" s="18"/>
      <c r="J411" s="18"/>
      <c r="K411" s="18"/>
      <c r="L411" s="18"/>
      <c r="P411" s="18"/>
      <c r="Q411" s="18"/>
    </row>
    <row r="412" spans="1:17" s="8" customFormat="1" x14ac:dyDescent="0.3">
      <c r="A412" s="6"/>
      <c r="B412" s="6"/>
      <c r="C412" s="3"/>
      <c r="D412" s="3"/>
      <c r="E412" s="18"/>
      <c r="F412" s="18"/>
      <c r="H412" s="18"/>
      <c r="I412" s="18"/>
      <c r="J412" s="18"/>
      <c r="K412" s="18"/>
      <c r="L412" s="18"/>
      <c r="P412" s="18"/>
      <c r="Q412" s="18"/>
    </row>
    <row r="413" spans="1:17" s="8" customFormat="1" x14ac:dyDescent="0.3">
      <c r="A413" s="6"/>
      <c r="B413" s="6"/>
      <c r="C413" s="3"/>
      <c r="D413" s="3"/>
      <c r="E413" s="18"/>
      <c r="F413" s="18"/>
      <c r="H413" s="18"/>
      <c r="I413" s="18"/>
      <c r="J413" s="18"/>
      <c r="K413" s="18"/>
      <c r="L413" s="18"/>
      <c r="P413" s="18"/>
      <c r="Q413" s="18"/>
    </row>
    <row r="414" spans="1:17" s="8" customFormat="1" x14ac:dyDescent="0.3">
      <c r="A414" s="6"/>
      <c r="B414" s="6"/>
      <c r="C414" s="3"/>
      <c r="D414" s="3"/>
      <c r="E414" s="18"/>
      <c r="F414" s="18"/>
      <c r="H414" s="18"/>
      <c r="I414" s="18"/>
      <c r="J414" s="18"/>
      <c r="K414" s="18"/>
      <c r="L414" s="18"/>
      <c r="P414" s="18"/>
      <c r="Q414" s="18"/>
    </row>
    <row r="415" spans="1:17" s="8" customFormat="1" x14ac:dyDescent="0.3">
      <c r="A415" s="6"/>
      <c r="B415" s="6"/>
      <c r="C415" s="3"/>
      <c r="D415" s="3"/>
      <c r="E415" s="18"/>
      <c r="F415" s="18"/>
      <c r="H415" s="18"/>
      <c r="I415" s="18"/>
      <c r="J415" s="18"/>
      <c r="K415" s="18"/>
      <c r="L415" s="18"/>
      <c r="P415" s="18"/>
      <c r="Q415" s="18"/>
    </row>
    <row r="416" spans="1:17" s="8" customFormat="1" x14ac:dyDescent="0.3">
      <c r="A416" s="6"/>
      <c r="B416" s="6"/>
      <c r="C416" s="3"/>
      <c r="D416" s="3"/>
      <c r="E416" s="18"/>
      <c r="F416" s="18"/>
      <c r="H416" s="18"/>
      <c r="I416" s="18"/>
      <c r="J416" s="18"/>
      <c r="K416" s="18"/>
      <c r="L416" s="18"/>
      <c r="P416" s="18"/>
      <c r="Q416" s="18"/>
    </row>
    <row r="417" spans="1:17" s="8" customFormat="1" x14ac:dyDescent="0.3">
      <c r="A417" s="6"/>
      <c r="B417" s="6"/>
      <c r="C417" s="3"/>
      <c r="D417" s="3"/>
      <c r="E417" s="18"/>
      <c r="F417" s="18"/>
      <c r="H417" s="18"/>
      <c r="I417" s="18"/>
      <c r="J417" s="18"/>
      <c r="K417" s="18"/>
      <c r="L417" s="18"/>
      <c r="P417" s="18"/>
      <c r="Q417" s="18"/>
    </row>
    <row r="418" spans="1:17" s="8" customFormat="1" x14ac:dyDescent="0.3">
      <c r="A418" s="6"/>
      <c r="B418" s="6"/>
      <c r="C418" s="3"/>
      <c r="D418" s="3"/>
      <c r="E418" s="18"/>
      <c r="F418" s="18"/>
      <c r="H418" s="18"/>
      <c r="I418" s="18"/>
      <c r="J418" s="18"/>
      <c r="K418" s="18"/>
      <c r="L418" s="18"/>
      <c r="P418" s="18"/>
      <c r="Q418" s="18"/>
    </row>
    <row r="419" spans="1:17" s="8" customFormat="1" x14ac:dyDescent="0.3">
      <c r="A419" s="6"/>
      <c r="B419" s="6"/>
      <c r="C419" s="3"/>
      <c r="D419" s="3"/>
      <c r="E419" s="18"/>
      <c r="F419" s="18"/>
      <c r="H419" s="18"/>
      <c r="I419" s="18"/>
      <c r="J419" s="18"/>
      <c r="K419" s="18"/>
      <c r="L419" s="18"/>
      <c r="P419" s="18"/>
      <c r="Q419" s="18"/>
    </row>
    <row r="420" spans="1:17" x14ac:dyDescent="0.3">
      <c r="A420" s="6"/>
      <c r="B420" s="6"/>
      <c r="C420" s="3"/>
    </row>
    <row r="421" spans="1:17" x14ac:dyDescent="0.3">
      <c r="A421" s="6"/>
      <c r="B421" s="6"/>
      <c r="C421" s="3"/>
    </row>
    <row r="422" spans="1:17" x14ac:dyDescent="0.3">
      <c r="A422" s="6"/>
      <c r="B422" s="6"/>
      <c r="C422" s="3"/>
    </row>
    <row r="423" spans="1:17" x14ac:dyDescent="0.3">
      <c r="A423" s="6"/>
      <c r="B423" s="6"/>
      <c r="C423" s="3"/>
    </row>
    <row r="424" spans="1:17" x14ac:dyDescent="0.3">
      <c r="A424" s="6"/>
      <c r="B424" s="6"/>
      <c r="C424" s="3"/>
    </row>
    <row r="425" spans="1:17" x14ac:dyDescent="0.3">
      <c r="A425" s="6"/>
      <c r="B425" s="6"/>
      <c r="C425" s="3"/>
    </row>
    <row r="426" spans="1:17" x14ac:dyDescent="0.3">
      <c r="A426" s="6"/>
      <c r="B426" s="6"/>
      <c r="C426" s="3"/>
    </row>
    <row r="427" spans="1:17" x14ac:dyDescent="0.3">
      <c r="A427" s="6"/>
      <c r="B427" s="6"/>
      <c r="C427" s="3"/>
    </row>
    <row r="428" spans="1:17" x14ac:dyDescent="0.3">
      <c r="A428" s="6"/>
      <c r="B428" s="6"/>
      <c r="C428" s="3"/>
    </row>
    <row r="429" spans="1:17" x14ac:dyDescent="0.3">
      <c r="A429" s="6"/>
      <c r="B429" s="6"/>
      <c r="C429" s="3"/>
    </row>
    <row r="430" spans="1:17" x14ac:dyDescent="0.3">
      <c r="A430" s="6"/>
      <c r="B430" s="6"/>
      <c r="C430" s="3"/>
    </row>
    <row r="431" spans="1:17" x14ac:dyDescent="0.3">
      <c r="A431" s="6"/>
      <c r="B431" s="6"/>
      <c r="C431" s="3"/>
    </row>
    <row r="432" spans="1:17" x14ac:dyDescent="0.3">
      <c r="A432" s="6"/>
      <c r="B432" s="6"/>
      <c r="C432" s="3"/>
    </row>
    <row r="433" spans="1:3" x14ac:dyDescent="0.3">
      <c r="A433" s="6"/>
      <c r="B433" s="6"/>
      <c r="C433" s="3"/>
    </row>
    <row r="434" spans="1:3" x14ac:dyDescent="0.3">
      <c r="A434" s="6"/>
      <c r="B434" s="6"/>
      <c r="C434" s="3"/>
    </row>
    <row r="435" spans="1:3" x14ac:dyDescent="0.3">
      <c r="A435" s="6"/>
      <c r="B435" s="6"/>
      <c r="C435" s="3"/>
    </row>
    <row r="436" spans="1:3" x14ac:dyDescent="0.3">
      <c r="A436" s="6"/>
      <c r="B436" s="6"/>
      <c r="C436" s="3"/>
    </row>
    <row r="437" spans="1:3" x14ac:dyDescent="0.3">
      <c r="A437" s="6"/>
      <c r="B437" s="6"/>
      <c r="C437" s="3"/>
    </row>
    <row r="438" spans="1:3" x14ac:dyDescent="0.3">
      <c r="A438" s="6"/>
      <c r="B438" s="6"/>
      <c r="C438" s="3"/>
    </row>
    <row r="439" spans="1:3" x14ac:dyDescent="0.3">
      <c r="A439" s="6"/>
      <c r="B439" s="6"/>
      <c r="C439" s="3"/>
    </row>
    <row r="440" spans="1:3" x14ac:dyDescent="0.3">
      <c r="A440" s="6"/>
      <c r="B440" s="6"/>
      <c r="C440" s="3"/>
    </row>
    <row r="441" spans="1:3" x14ac:dyDescent="0.3">
      <c r="A441" s="6"/>
      <c r="B441" s="6"/>
      <c r="C441" s="3"/>
    </row>
    <row r="442" spans="1:3" x14ac:dyDescent="0.3">
      <c r="A442" s="6"/>
      <c r="B442" s="6"/>
      <c r="C442" s="3"/>
    </row>
    <row r="443" spans="1:3" x14ac:dyDescent="0.3">
      <c r="A443" s="6"/>
      <c r="B443" s="6"/>
      <c r="C443" s="3"/>
    </row>
    <row r="444" spans="1:3" x14ac:dyDescent="0.3">
      <c r="A444" s="6"/>
      <c r="B444" s="6"/>
      <c r="C444" s="3"/>
    </row>
    <row r="445" spans="1:3" x14ac:dyDescent="0.3">
      <c r="A445" s="6"/>
      <c r="B445" s="6"/>
      <c r="C445" s="3"/>
    </row>
    <row r="446" spans="1:3" x14ac:dyDescent="0.3">
      <c r="A446" s="6"/>
      <c r="B446" s="6"/>
      <c r="C446" s="3"/>
    </row>
    <row r="447" spans="1:3" x14ac:dyDescent="0.3">
      <c r="A447" s="6"/>
      <c r="B447" s="6"/>
      <c r="C447" s="3"/>
    </row>
    <row r="448" spans="1:3" x14ac:dyDescent="0.3">
      <c r="A448" s="6"/>
      <c r="B448" s="6"/>
      <c r="C448" s="3"/>
    </row>
    <row r="449" spans="1:3" x14ac:dyDescent="0.3">
      <c r="A449" s="6"/>
      <c r="B449" s="6"/>
      <c r="C449" s="3"/>
    </row>
    <row r="450" spans="1:3" x14ac:dyDescent="0.3">
      <c r="A450" s="6"/>
      <c r="B450" s="6"/>
      <c r="C450" s="3"/>
    </row>
    <row r="451" spans="1:3" x14ac:dyDescent="0.3">
      <c r="A451" s="6"/>
      <c r="B451" s="6"/>
      <c r="C451" s="3"/>
    </row>
    <row r="452" spans="1:3" x14ac:dyDescent="0.3">
      <c r="A452" s="6"/>
      <c r="B452" s="6"/>
      <c r="C452" s="3"/>
    </row>
    <row r="453" spans="1:3" x14ac:dyDescent="0.3">
      <c r="A453" s="6"/>
      <c r="B453" s="6"/>
      <c r="C453" s="3"/>
    </row>
    <row r="454" spans="1:3" x14ac:dyDescent="0.3">
      <c r="A454" s="6"/>
      <c r="B454" s="6"/>
      <c r="C454" s="3"/>
    </row>
    <row r="455" spans="1:3" x14ac:dyDescent="0.3">
      <c r="A455" s="6"/>
      <c r="B455" s="6"/>
      <c r="C455" s="3"/>
    </row>
    <row r="456" spans="1:3" x14ac:dyDescent="0.3">
      <c r="A456" s="6"/>
      <c r="B456" s="6"/>
      <c r="C456" s="3"/>
    </row>
    <row r="457" spans="1:3" x14ac:dyDescent="0.3">
      <c r="A457" s="6"/>
      <c r="B457" s="6"/>
      <c r="C457" s="3"/>
    </row>
    <row r="458" spans="1:3" x14ac:dyDescent="0.3">
      <c r="A458" s="6"/>
      <c r="B458" s="6"/>
      <c r="C458" s="3"/>
    </row>
    <row r="459" spans="1:3" x14ac:dyDescent="0.3">
      <c r="A459" s="6"/>
      <c r="B459" s="6"/>
      <c r="C459" s="3"/>
    </row>
    <row r="460" spans="1:3" x14ac:dyDescent="0.3">
      <c r="A460" s="6"/>
      <c r="B460" s="6"/>
      <c r="C460" s="3"/>
    </row>
    <row r="461" spans="1:3" x14ac:dyDescent="0.3">
      <c r="A461" s="6"/>
      <c r="B461" s="6"/>
      <c r="C461" s="3"/>
    </row>
    <row r="462" spans="1:3" x14ac:dyDescent="0.3">
      <c r="A462" s="6"/>
      <c r="B462" s="6"/>
      <c r="C462" s="3"/>
    </row>
    <row r="463" spans="1:3" x14ac:dyDescent="0.3">
      <c r="A463" s="6"/>
      <c r="B463" s="6"/>
      <c r="C463" s="3"/>
    </row>
    <row r="464" spans="1:3" x14ac:dyDescent="0.3">
      <c r="A464" s="6"/>
      <c r="B464" s="6"/>
      <c r="C464" s="3"/>
    </row>
    <row r="465" spans="1:3" x14ac:dyDescent="0.3">
      <c r="A465" s="6"/>
      <c r="B465" s="6"/>
      <c r="C465" s="3"/>
    </row>
    <row r="466" spans="1:3" x14ac:dyDescent="0.3">
      <c r="A466" s="6"/>
      <c r="B466" s="6"/>
      <c r="C466" s="3"/>
    </row>
    <row r="467" spans="1:3" x14ac:dyDescent="0.3">
      <c r="A467" s="6"/>
      <c r="B467" s="6"/>
      <c r="C467" s="3"/>
    </row>
    <row r="468" spans="1:3" x14ac:dyDescent="0.3">
      <c r="A468" s="6"/>
      <c r="B468" s="6"/>
      <c r="C468" s="3"/>
    </row>
    <row r="469" spans="1:3" x14ac:dyDescent="0.3">
      <c r="A469" s="6"/>
      <c r="B469" s="6"/>
      <c r="C469" s="3"/>
    </row>
    <row r="470" spans="1:3" x14ac:dyDescent="0.3">
      <c r="A470" s="6"/>
      <c r="B470" s="6"/>
      <c r="C470" s="3"/>
    </row>
    <row r="471" spans="1:3" x14ac:dyDescent="0.3">
      <c r="A471" s="6"/>
      <c r="B471" s="6"/>
      <c r="C471" s="3"/>
    </row>
    <row r="472" spans="1:3" x14ac:dyDescent="0.3">
      <c r="A472" s="6"/>
      <c r="B472" s="6"/>
      <c r="C472" s="3"/>
    </row>
    <row r="473" spans="1:3" x14ac:dyDescent="0.3">
      <c r="A473" s="6"/>
      <c r="B473" s="6"/>
      <c r="C473" s="3"/>
    </row>
    <row r="474" spans="1:3" x14ac:dyDescent="0.3">
      <c r="A474" s="6"/>
      <c r="B474" s="6"/>
      <c r="C474" s="3"/>
    </row>
    <row r="475" spans="1:3" x14ac:dyDescent="0.3">
      <c r="A475" s="6"/>
      <c r="B475" s="6"/>
      <c r="C475" s="3"/>
    </row>
    <row r="476" spans="1:3" x14ac:dyDescent="0.3">
      <c r="A476" s="6"/>
      <c r="B476" s="6"/>
      <c r="C476" s="3"/>
    </row>
    <row r="477" spans="1:3" x14ac:dyDescent="0.3">
      <c r="A477" s="6"/>
      <c r="B477" s="6"/>
      <c r="C477" s="3"/>
    </row>
    <row r="478" spans="1:3" x14ac:dyDescent="0.3">
      <c r="A478" s="6"/>
      <c r="B478" s="6"/>
      <c r="C478" s="3"/>
    </row>
    <row r="479" spans="1:3" x14ac:dyDescent="0.3">
      <c r="A479" s="6"/>
      <c r="B479" s="6"/>
      <c r="C479" s="3"/>
    </row>
    <row r="480" spans="1:3" x14ac:dyDescent="0.3">
      <c r="A480" s="6"/>
      <c r="B480" s="6"/>
      <c r="C480" s="3"/>
    </row>
    <row r="481" spans="1:3" x14ac:dyDescent="0.3">
      <c r="A481" s="6"/>
      <c r="B481" s="6"/>
      <c r="C481" s="3"/>
    </row>
    <row r="482" spans="1:3" x14ac:dyDescent="0.3">
      <c r="A482" s="6"/>
      <c r="B482" s="6"/>
      <c r="C482" s="3"/>
    </row>
    <row r="483" spans="1:3" x14ac:dyDescent="0.3">
      <c r="A483" s="6"/>
      <c r="B483" s="6"/>
      <c r="C483" s="3"/>
    </row>
    <row r="484" spans="1:3" x14ac:dyDescent="0.3">
      <c r="A484" s="6"/>
      <c r="B484" s="6"/>
      <c r="C484" s="3"/>
    </row>
    <row r="485" spans="1:3" x14ac:dyDescent="0.3">
      <c r="A485" s="6"/>
      <c r="B485" s="6"/>
      <c r="C485" s="3"/>
    </row>
    <row r="486" spans="1:3" x14ac:dyDescent="0.3">
      <c r="A486" s="6"/>
      <c r="B486" s="6"/>
      <c r="C486" s="3"/>
    </row>
    <row r="487" spans="1:3" x14ac:dyDescent="0.3">
      <c r="A487" s="6"/>
      <c r="B487" s="6"/>
      <c r="C487" s="3"/>
    </row>
    <row r="488" spans="1:3" x14ac:dyDescent="0.3">
      <c r="A488" s="6"/>
      <c r="B488" s="6"/>
      <c r="C488" s="3"/>
    </row>
    <row r="489" spans="1:3" x14ac:dyDescent="0.3">
      <c r="A489" s="6"/>
      <c r="B489" s="6"/>
      <c r="C489" s="3"/>
    </row>
    <row r="490" spans="1:3" x14ac:dyDescent="0.3">
      <c r="A490" s="6"/>
      <c r="B490" s="6"/>
      <c r="C490" s="3"/>
    </row>
    <row r="491" spans="1:3" x14ac:dyDescent="0.3">
      <c r="A491" s="6"/>
      <c r="B491" s="6"/>
      <c r="C491" s="3"/>
    </row>
    <row r="492" spans="1:3" x14ac:dyDescent="0.3">
      <c r="A492" s="6"/>
      <c r="B492" s="6"/>
      <c r="C492" s="3"/>
    </row>
    <row r="493" spans="1:3" x14ac:dyDescent="0.3">
      <c r="A493" s="6"/>
      <c r="B493" s="6"/>
      <c r="C493" s="3"/>
    </row>
    <row r="494" spans="1:3" x14ac:dyDescent="0.3">
      <c r="A494" s="6"/>
      <c r="B494" s="6"/>
      <c r="C494" s="3"/>
    </row>
    <row r="495" spans="1:3" x14ac:dyDescent="0.3">
      <c r="A495" s="6"/>
      <c r="B495" s="6"/>
      <c r="C495" s="3"/>
    </row>
    <row r="496" spans="1:3" x14ac:dyDescent="0.3">
      <c r="A496" s="6"/>
      <c r="B496" s="6"/>
      <c r="C496" s="3"/>
    </row>
    <row r="497" spans="1:3" x14ac:dyDescent="0.3">
      <c r="A497" s="6"/>
      <c r="B497" s="6"/>
      <c r="C497" s="3"/>
    </row>
    <row r="498" spans="1:3" x14ac:dyDescent="0.3">
      <c r="A498" s="6"/>
      <c r="B498" s="6"/>
      <c r="C498" s="3"/>
    </row>
    <row r="499" spans="1:3" x14ac:dyDescent="0.3">
      <c r="A499" s="6"/>
      <c r="B499" s="6"/>
      <c r="C499" s="3"/>
    </row>
    <row r="500" spans="1:3" x14ac:dyDescent="0.3">
      <c r="A500" s="6"/>
      <c r="B500" s="6"/>
      <c r="C500" s="3"/>
    </row>
    <row r="501" spans="1:3" x14ac:dyDescent="0.3">
      <c r="A501" s="6"/>
      <c r="B501" s="6"/>
      <c r="C501" s="3"/>
    </row>
    <row r="502" spans="1:3" x14ac:dyDescent="0.3">
      <c r="A502" s="6"/>
      <c r="B502" s="6"/>
      <c r="C502" s="3"/>
    </row>
    <row r="503" spans="1:3" x14ac:dyDescent="0.3">
      <c r="A503" s="6"/>
      <c r="B503" s="6"/>
      <c r="C503" s="3"/>
    </row>
    <row r="504" spans="1:3" x14ac:dyDescent="0.3">
      <c r="A504" s="6"/>
      <c r="B504" s="6"/>
      <c r="C504" s="3"/>
    </row>
    <row r="505" spans="1:3" x14ac:dyDescent="0.3">
      <c r="A505" s="6"/>
      <c r="B505" s="6"/>
      <c r="C505" s="3"/>
    </row>
    <row r="506" spans="1:3" x14ac:dyDescent="0.3">
      <c r="A506" s="6"/>
      <c r="B506" s="6"/>
      <c r="C506" s="3"/>
    </row>
    <row r="507" spans="1:3" x14ac:dyDescent="0.3">
      <c r="A507" s="6"/>
      <c r="B507" s="6"/>
      <c r="C507" s="3"/>
    </row>
    <row r="508" spans="1:3" x14ac:dyDescent="0.3">
      <c r="A508" s="6"/>
      <c r="B508" s="6"/>
      <c r="C508" s="3"/>
    </row>
    <row r="509" spans="1:3" x14ac:dyDescent="0.3">
      <c r="A509" s="6"/>
      <c r="B509" s="6"/>
      <c r="C509" s="3"/>
    </row>
    <row r="510" spans="1:3" x14ac:dyDescent="0.3">
      <c r="A510" s="6"/>
      <c r="B510" s="6"/>
      <c r="C510" s="3"/>
    </row>
    <row r="511" spans="1:3" x14ac:dyDescent="0.3">
      <c r="A511" s="6"/>
      <c r="B511" s="6"/>
      <c r="C511" s="3"/>
    </row>
    <row r="512" spans="1:3" x14ac:dyDescent="0.3">
      <c r="A512" s="6"/>
      <c r="B512" s="6"/>
      <c r="C512" s="3"/>
    </row>
    <row r="513" spans="1:3" x14ac:dyDescent="0.3">
      <c r="A513" s="6"/>
      <c r="B513" s="6"/>
      <c r="C513" s="3"/>
    </row>
    <row r="514" spans="1:3" x14ac:dyDescent="0.3">
      <c r="A514" s="6"/>
      <c r="B514" s="6"/>
      <c r="C514" s="3"/>
    </row>
    <row r="515" spans="1:3" x14ac:dyDescent="0.3">
      <c r="A515" s="6"/>
      <c r="B515" s="6"/>
      <c r="C515" s="3"/>
    </row>
    <row r="516" spans="1:3" x14ac:dyDescent="0.3">
      <c r="A516" s="6"/>
      <c r="B516" s="6"/>
      <c r="C516" s="3"/>
    </row>
    <row r="517" spans="1:3" x14ac:dyDescent="0.3">
      <c r="A517" s="6"/>
      <c r="B517" s="6"/>
      <c r="C517" s="3"/>
    </row>
    <row r="518" spans="1:3" x14ac:dyDescent="0.3">
      <c r="A518" s="6"/>
      <c r="B518" s="6"/>
      <c r="C518" s="3"/>
    </row>
    <row r="519" spans="1:3" x14ac:dyDescent="0.3">
      <c r="A519" s="6"/>
      <c r="B519" s="6"/>
      <c r="C519" s="3"/>
    </row>
    <row r="520" spans="1:3" x14ac:dyDescent="0.3">
      <c r="A520" s="6"/>
      <c r="B520" s="6"/>
      <c r="C520" s="3"/>
    </row>
    <row r="521" spans="1:3" x14ac:dyDescent="0.3">
      <c r="A521" s="6"/>
      <c r="B521" s="6"/>
      <c r="C521" s="3"/>
    </row>
    <row r="522" spans="1:3" x14ac:dyDescent="0.3">
      <c r="A522" s="6"/>
      <c r="B522" s="6"/>
      <c r="C522" s="3"/>
    </row>
    <row r="523" spans="1:3" x14ac:dyDescent="0.3">
      <c r="A523" s="6"/>
      <c r="B523" s="6"/>
      <c r="C523" s="3"/>
    </row>
    <row r="524" spans="1:3" x14ac:dyDescent="0.3">
      <c r="A524" s="6"/>
      <c r="B524" s="6"/>
      <c r="C524" s="3"/>
    </row>
    <row r="525" spans="1:3" x14ac:dyDescent="0.3">
      <c r="A525" s="6"/>
      <c r="B525" s="6"/>
      <c r="C525" s="3"/>
    </row>
    <row r="526" spans="1:3" x14ac:dyDescent="0.3">
      <c r="A526" s="6"/>
      <c r="B526" s="6"/>
      <c r="C526" s="3"/>
    </row>
    <row r="527" spans="1:3" x14ac:dyDescent="0.3">
      <c r="A527" s="6"/>
      <c r="B527" s="6"/>
      <c r="C527" s="3"/>
    </row>
    <row r="528" spans="1:3" x14ac:dyDescent="0.3">
      <c r="A528" s="6"/>
      <c r="B528" s="6"/>
      <c r="C528" s="3"/>
    </row>
    <row r="529" spans="1:3" x14ac:dyDescent="0.3">
      <c r="A529" s="6"/>
      <c r="B529" s="6"/>
      <c r="C529" s="3"/>
    </row>
    <row r="530" spans="1:3" x14ac:dyDescent="0.3">
      <c r="A530" s="6"/>
      <c r="B530" s="6"/>
      <c r="C530" s="3"/>
    </row>
    <row r="531" spans="1:3" x14ac:dyDescent="0.3">
      <c r="A531" s="6"/>
      <c r="B531" s="6"/>
      <c r="C531" s="3"/>
    </row>
    <row r="532" spans="1:3" x14ac:dyDescent="0.3">
      <c r="A532" s="6"/>
      <c r="B532" s="6"/>
      <c r="C532" s="3"/>
    </row>
    <row r="533" spans="1:3" x14ac:dyDescent="0.3">
      <c r="A533" s="6"/>
      <c r="B533" s="6"/>
      <c r="C533" s="3"/>
    </row>
    <row r="534" spans="1:3" x14ac:dyDescent="0.3">
      <c r="A534" s="6"/>
      <c r="B534" s="6"/>
      <c r="C534" s="3"/>
    </row>
    <row r="535" spans="1:3" x14ac:dyDescent="0.3">
      <c r="A535" s="6"/>
      <c r="B535" s="6"/>
      <c r="C535" s="3"/>
    </row>
    <row r="536" spans="1:3" x14ac:dyDescent="0.3">
      <c r="A536" s="6"/>
      <c r="B536" s="6"/>
      <c r="C536" s="3"/>
    </row>
    <row r="537" spans="1:3" x14ac:dyDescent="0.3">
      <c r="A537" s="6"/>
      <c r="B537" s="6"/>
      <c r="C537" s="3"/>
    </row>
    <row r="538" spans="1:3" x14ac:dyDescent="0.3">
      <c r="A538" s="6"/>
      <c r="B538" s="6"/>
      <c r="C538" s="3"/>
    </row>
    <row r="539" spans="1:3" x14ac:dyDescent="0.3">
      <c r="A539" s="6"/>
      <c r="B539" s="6"/>
      <c r="C539" s="3"/>
    </row>
    <row r="540" spans="1:3" x14ac:dyDescent="0.3">
      <c r="A540" s="6"/>
      <c r="B540" s="6"/>
      <c r="C540" s="3"/>
    </row>
    <row r="541" spans="1:3" x14ac:dyDescent="0.3">
      <c r="A541" s="6"/>
      <c r="B541" s="6"/>
      <c r="C541" s="3"/>
    </row>
    <row r="542" spans="1:3" x14ac:dyDescent="0.3">
      <c r="A542" s="6"/>
      <c r="B542" s="6"/>
      <c r="C542" s="3"/>
    </row>
    <row r="543" spans="1:3" x14ac:dyDescent="0.3">
      <c r="A543" s="6"/>
      <c r="B543" s="6"/>
      <c r="C543" s="3"/>
    </row>
    <row r="544" spans="1:3" x14ac:dyDescent="0.3">
      <c r="A544" s="6"/>
      <c r="B544" s="6"/>
      <c r="C544" s="3"/>
    </row>
    <row r="545" spans="1:3" x14ac:dyDescent="0.3">
      <c r="A545" s="6"/>
      <c r="B545" s="6"/>
      <c r="C545" s="3"/>
    </row>
    <row r="546" spans="1:3" x14ac:dyDescent="0.3">
      <c r="A546" s="6"/>
      <c r="B546" s="6"/>
      <c r="C546" s="3"/>
    </row>
    <row r="547" spans="1:3" x14ac:dyDescent="0.3">
      <c r="A547" s="6"/>
      <c r="B547" s="6"/>
      <c r="C547" s="3"/>
    </row>
    <row r="548" spans="1:3" x14ac:dyDescent="0.3">
      <c r="A548" s="6"/>
      <c r="B548" s="6"/>
      <c r="C548" s="3"/>
    </row>
    <row r="549" spans="1:3" x14ac:dyDescent="0.3">
      <c r="A549" s="6"/>
      <c r="B549" s="6"/>
      <c r="C549" s="3"/>
    </row>
    <row r="550" spans="1:3" x14ac:dyDescent="0.3">
      <c r="A550" s="6"/>
      <c r="B550" s="6"/>
      <c r="C550" s="3"/>
    </row>
    <row r="551" spans="1:3" x14ac:dyDescent="0.3">
      <c r="A551" s="6"/>
      <c r="B551" s="6"/>
      <c r="C551" s="3"/>
    </row>
    <row r="552" spans="1:3" x14ac:dyDescent="0.3">
      <c r="A552" s="6"/>
      <c r="B552" s="6"/>
      <c r="C552" s="3"/>
    </row>
    <row r="553" spans="1:3" x14ac:dyDescent="0.3">
      <c r="A553" s="6"/>
      <c r="B553" s="6"/>
      <c r="C553" s="3"/>
    </row>
    <row r="554" spans="1:3" x14ac:dyDescent="0.3">
      <c r="A554" s="6"/>
      <c r="B554" s="6"/>
      <c r="C554" s="3"/>
    </row>
    <row r="555" spans="1:3" x14ac:dyDescent="0.3">
      <c r="A555" s="6"/>
      <c r="B555" s="6"/>
      <c r="C555" s="3"/>
    </row>
    <row r="556" spans="1:3" x14ac:dyDescent="0.3">
      <c r="A556" s="6"/>
      <c r="B556" s="6"/>
      <c r="C556" s="3"/>
    </row>
    <row r="557" spans="1:3" x14ac:dyDescent="0.3">
      <c r="A557" s="6"/>
      <c r="B557" s="6"/>
      <c r="C557" s="3"/>
    </row>
    <row r="558" spans="1:3" x14ac:dyDescent="0.3">
      <c r="A558" s="6"/>
      <c r="B558" s="6"/>
      <c r="C558" s="3"/>
    </row>
    <row r="559" spans="1:3" x14ac:dyDescent="0.3">
      <c r="A559" s="6"/>
      <c r="B559" s="6"/>
      <c r="C559" s="3"/>
    </row>
    <row r="560" spans="1:3" x14ac:dyDescent="0.3">
      <c r="A560" s="6"/>
      <c r="B560" s="6"/>
      <c r="C560" s="3"/>
    </row>
    <row r="561" spans="1:3" x14ac:dyDescent="0.3">
      <c r="A561" s="6"/>
      <c r="B561" s="6"/>
      <c r="C561" s="3"/>
    </row>
    <row r="562" spans="1:3" x14ac:dyDescent="0.3">
      <c r="A562" s="6"/>
      <c r="B562" s="6"/>
      <c r="C562" s="3"/>
    </row>
    <row r="563" spans="1:3" x14ac:dyDescent="0.3">
      <c r="A563" s="6"/>
      <c r="B563" s="6"/>
      <c r="C563" s="3"/>
    </row>
    <row r="564" spans="1:3" x14ac:dyDescent="0.3">
      <c r="A564" s="6"/>
      <c r="B564" s="6"/>
      <c r="C564" s="3"/>
    </row>
    <row r="565" spans="1:3" x14ac:dyDescent="0.3">
      <c r="A565" s="6"/>
      <c r="B565" s="6"/>
      <c r="C565" s="3"/>
    </row>
    <row r="566" spans="1:3" x14ac:dyDescent="0.3">
      <c r="A566" s="6"/>
      <c r="B566" s="6"/>
      <c r="C566" s="3"/>
    </row>
    <row r="567" spans="1:3" x14ac:dyDescent="0.3">
      <c r="A567" s="6"/>
      <c r="B567" s="6"/>
      <c r="C567" s="3"/>
    </row>
    <row r="568" spans="1:3" x14ac:dyDescent="0.3">
      <c r="A568" s="6"/>
      <c r="B568" s="6"/>
      <c r="C568" s="3"/>
    </row>
    <row r="569" spans="1:3" x14ac:dyDescent="0.3">
      <c r="A569" s="6"/>
      <c r="B569" s="6"/>
      <c r="C569" s="3"/>
    </row>
    <row r="570" spans="1:3" x14ac:dyDescent="0.3">
      <c r="A570" s="6"/>
      <c r="B570" s="6"/>
      <c r="C570" s="3"/>
    </row>
    <row r="571" spans="1:3" x14ac:dyDescent="0.3">
      <c r="A571" s="6"/>
      <c r="B571" s="6"/>
      <c r="C571" s="3"/>
    </row>
    <row r="572" spans="1:3" x14ac:dyDescent="0.3">
      <c r="A572" s="6"/>
      <c r="B572" s="6"/>
      <c r="C572" s="3"/>
    </row>
    <row r="573" spans="1:3" x14ac:dyDescent="0.3">
      <c r="A573" s="6"/>
      <c r="B573" s="6"/>
      <c r="C573" s="3"/>
    </row>
    <row r="574" spans="1:3" x14ac:dyDescent="0.3">
      <c r="A574" s="6"/>
      <c r="B574" s="6"/>
      <c r="C574" s="3"/>
    </row>
    <row r="575" spans="1:3" x14ac:dyDescent="0.3">
      <c r="A575" s="6"/>
      <c r="B575" s="6"/>
      <c r="C575" s="3"/>
    </row>
    <row r="576" spans="1:3" x14ac:dyDescent="0.3">
      <c r="A576" s="6"/>
      <c r="B576" s="6"/>
      <c r="C576" s="3"/>
    </row>
    <row r="577" spans="1:3" x14ac:dyDescent="0.3">
      <c r="A577" s="6"/>
      <c r="B577" s="6"/>
      <c r="C577" s="3"/>
    </row>
    <row r="578" spans="1:3" x14ac:dyDescent="0.3">
      <c r="A578" s="6"/>
      <c r="B578" s="6"/>
      <c r="C578" s="3"/>
    </row>
    <row r="579" spans="1:3" x14ac:dyDescent="0.3">
      <c r="A579" s="6"/>
      <c r="B579" s="6"/>
      <c r="C579" s="3"/>
    </row>
    <row r="580" spans="1:3" x14ac:dyDescent="0.3">
      <c r="A580" s="6"/>
      <c r="B580" s="6"/>
      <c r="C580" s="3"/>
    </row>
    <row r="581" spans="1:3" x14ac:dyDescent="0.3">
      <c r="A581" s="6"/>
      <c r="B581" s="6"/>
      <c r="C581" s="3"/>
    </row>
    <row r="582" spans="1:3" x14ac:dyDescent="0.3">
      <c r="A582" s="6"/>
      <c r="B582" s="6"/>
      <c r="C582" s="3"/>
    </row>
    <row r="583" spans="1:3" x14ac:dyDescent="0.3">
      <c r="A583" s="6"/>
      <c r="B583" s="6"/>
      <c r="C583" s="3"/>
    </row>
    <row r="584" spans="1:3" x14ac:dyDescent="0.3">
      <c r="A584" s="6"/>
      <c r="B584" s="6"/>
      <c r="C584" s="3"/>
    </row>
    <row r="585" spans="1:3" x14ac:dyDescent="0.3">
      <c r="A585" s="6"/>
      <c r="B585" s="6"/>
      <c r="C585" s="3"/>
    </row>
    <row r="586" spans="1:3" x14ac:dyDescent="0.3">
      <c r="A586" s="6"/>
      <c r="B586" s="6"/>
      <c r="C586" s="3"/>
    </row>
    <row r="587" spans="1:3" x14ac:dyDescent="0.3">
      <c r="A587" s="6"/>
      <c r="B587" s="6"/>
      <c r="C587" s="3"/>
    </row>
    <row r="588" spans="1:3" x14ac:dyDescent="0.3">
      <c r="A588" s="6"/>
      <c r="B588" s="6"/>
      <c r="C588" s="3"/>
    </row>
    <row r="589" spans="1:3" x14ac:dyDescent="0.3">
      <c r="A589" s="6"/>
      <c r="B589" s="6"/>
      <c r="C589" s="3"/>
    </row>
    <row r="590" spans="1:3" x14ac:dyDescent="0.3">
      <c r="A590" s="6"/>
      <c r="B590" s="6"/>
      <c r="C590" s="3"/>
    </row>
    <row r="591" spans="1:3" x14ac:dyDescent="0.3">
      <c r="A591" s="6"/>
      <c r="B591" s="6"/>
      <c r="C591" s="3"/>
    </row>
    <row r="592" spans="1:3" x14ac:dyDescent="0.3">
      <c r="A592" s="6"/>
      <c r="B592" s="6"/>
      <c r="C592" s="3"/>
    </row>
    <row r="593" spans="1:3" x14ac:dyDescent="0.3">
      <c r="A593" s="6"/>
      <c r="B593" s="6"/>
      <c r="C593" s="3"/>
    </row>
    <row r="594" spans="1:3" x14ac:dyDescent="0.3">
      <c r="A594" s="6"/>
      <c r="B594" s="6"/>
      <c r="C594" s="3"/>
    </row>
    <row r="595" spans="1:3" x14ac:dyDescent="0.3">
      <c r="A595" s="6"/>
      <c r="B595" s="6"/>
      <c r="C595" s="3"/>
    </row>
    <row r="596" spans="1:3" x14ac:dyDescent="0.3">
      <c r="A596" s="6"/>
      <c r="B596" s="6"/>
      <c r="C596" s="3"/>
    </row>
    <row r="597" spans="1:3" x14ac:dyDescent="0.3">
      <c r="A597" s="6"/>
      <c r="B597" s="6"/>
      <c r="C597" s="3"/>
    </row>
    <row r="598" spans="1:3" x14ac:dyDescent="0.3">
      <c r="A598" s="6"/>
      <c r="B598" s="6"/>
      <c r="C598" s="3"/>
    </row>
    <row r="599" spans="1:3" x14ac:dyDescent="0.3">
      <c r="A599" s="6"/>
      <c r="B599" s="6"/>
      <c r="C599" s="3"/>
    </row>
    <row r="600" spans="1:3" x14ac:dyDescent="0.3">
      <c r="A600" s="6"/>
      <c r="B600" s="6"/>
      <c r="C600" s="3"/>
    </row>
    <row r="601" spans="1:3" x14ac:dyDescent="0.3">
      <c r="A601" s="6"/>
      <c r="B601" s="6"/>
      <c r="C601" s="3"/>
    </row>
    <row r="602" spans="1:3" x14ac:dyDescent="0.3">
      <c r="A602" s="6"/>
      <c r="B602" s="6"/>
      <c r="C602" s="3"/>
    </row>
    <row r="603" spans="1:3" x14ac:dyDescent="0.3">
      <c r="A603" s="6"/>
      <c r="B603" s="6"/>
      <c r="C603" s="3"/>
    </row>
    <row r="604" spans="1:3" x14ac:dyDescent="0.3">
      <c r="A604" s="6"/>
      <c r="B604" s="6"/>
      <c r="C604" s="3"/>
    </row>
    <row r="605" spans="1:3" x14ac:dyDescent="0.3">
      <c r="A605" s="6"/>
      <c r="B605" s="6"/>
      <c r="C605" s="3"/>
    </row>
    <row r="606" spans="1:3" x14ac:dyDescent="0.3">
      <c r="A606" s="6"/>
      <c r="B606" s="6"/>
      <c r="C606" s="3"/>
    </row>
    <row r="607" spans="1:3" x14ac:dyDescent="0.3">
      <c r="A607" s="6"/>
      <c r="B607" s="6"/>
      <c r="C607" s="3"/>
    </row>
    <row r="608" spans="1:3" x14ac:dyDescent="0.3">
      <c r="A608" s="6"/>
      <c r="B608" s="6"/>
      <c r="C608" s="3"/>
    </row>
    <row r="609" spans="1:3" x14ac:dyDescent="0.3">
      <c r="A609" s="6"/>
      <c r="B609" s="6"/>
      <c r="C609" s="3"/>
    </row>
    <row r="610" spans="1:3" x14ac:dyDescent="0.3">
      <c r="A610" s="6"/>
      <c r="B610" s="6"/>
      <c r="C610" s="3"/>
    </row>
    <row r="611" spans="1:3" x14ac:dyDescent="0.3">
      <c r="A611" s="6"/>
      <c r="B611" s="6"/>
      <c r="C611" s="3"/>
    </row>
    <row r="612" spans="1:3" x14ac:dyDescent="0.3">
      <c r="A612" s="6"/>
      <c r="B612" s="6"/>
      <c r="C612" s="3"/>
    </row>
    <row r="613" spans="1:3" x14ac:dyDescent="0.3">
      <c r="A613" s="6"/>
      <c r="B613" s="6"/>
      <c r="C613" s="3"/>
    </row>
    <row r="614" spans="1:3" x14ac:dyDescent="0.3">
      <c r="A614" s="6"/>
      <c r="B614" s="6"/>
      <c r="C614" s="3"/>
    </row>
    <row r="615" spans="1:3" x14ac:dyDescent="0.3">
      <c r="A615" s="6"/>
      <c r="B615" s="6"/>
      <c r="C615" s="3"/>
    </row>
    <row r="616" spans="1:3" x14ac:dyDescent="0.3">
      <c r="A616" s="6"/>
      <c r="B616" s="6"/>
      <c r="C616" s="3"/>
    </row>
    <row r="617" spans="1:3" x14ac:dyDescent="0.3">
      <c r="A617" s="6"/>
      <c r="B617" s="6"/>
      <c r="C617" s="3"/>
    </row>
    <row r="618" spans="1:3" x14ac:dyDescent="0.3">
      <c r="A618" s="6"/>
      <c r="B618" s="6"/>
      <c r="C618" s="3"/>
    </row>
    <row r="619" spans="1:3" x14ac:dyDescent="0.3">
      <c r="A619" s="6"/>
      <c r="B619" s="6"/>
      <c r="C619" s="3"/>
    </row>
    <row r="620" spans="1:3" x14ac:dyDescent="0.3">
      <c r="A620" s="6"/>
      <c r="B620" s="6"/>
      <c r="C620" s="3"/>
    </row>
    <row r="621" spans="1:3" x14ac:dyDescent="0.3">
      <c r="A621" s="6"/>
      <c r="B621" s="6"/>
      <c r="C621" s="3"/>
    </row>
    <row r="622" spans="1:3" x14ac:dyDescent="0.3">
      <c r="A622" s="6"/>
      <c r="B622" s="6"/>
      <c r="C622" s="3"/>
    </row>
    <row r="623" spans="1:3" x14ac:dyDescent="0.3">
      <c r="A623" s="6"/>
      <c r="B623" s="6"/>
      <c r="C623" s="3"/>
    </row>
    <row r="624" spans="1:3" x14ac:dyDescent="0.3">
      <c r="A624" s="6"/>
      <c r="B624" s="6"/>
      <c r="C624" s="3"/>
    </row>
    <row r="625" spans="1:3" x14ac:dyDescent="0.3">
      <c r="A625" s="6"/>
      <c r="B625" s="6"/>
      <c r="C625" s="3"/>
    </row>
    <row r="626" spans="1:3" x14ac:dyDescent="0.3">
      <c r="A626" s="6"/>
      <c r="B626" s="6"/>
      <c r="C626" s="3"/>
    </row>
    <row r="627" spans="1:3" x14ac:dyDescent="0.3">
      <c r="A627" s="6"/>
      <c r="B627" s="6"/>
      <c r="C627" s="3"/>
    </row>
    <row r="628" spans="1:3" x14ac:dyDescent="0.3">
      <c r="A628" s="6"/>
      <c r="B628" s="6"/>
      <c r="C628" s="3"/>
    </row>
    <row r="629" spans="1:3" x14ac:dyDescent="0.3">
      <c r="A629" s="6"/>
      <c r="B629" s="6"/>
      <c r="C629" s="3"/>
    </row>
    <row r="630" spans="1:3" x14ac:dyDescent="0.3">
      <c r="A630" s="6"/>
      <c r="B630" s="6"/>
      <c r="C630" s="3"/>
    </row>
    <row r="631" spans="1:3" x14ac:dyDescent="0.3">
      <c r="A631" s="6"/>
      <c r="B631" s="6"/>
      <c r="C631" s="3"/>
    </row>
    <row r="632" spans="1:3" x14ac:dyDescent="0.3">
      <c r="A632" s="6"/>
      <c r="B632" s="6"/>
      <c r="C632" s="3"/>
    </row>
    <row r="633" spans="1:3" x14ac:dyDescent="0.3">
      <c r="A633" s="6"/>
      <c r="B633" s="6"/>
      <c r="C633" s="3"/>
    </row>
    <row r="634" spans="1:3" x14ac:dyDescent="0.3">
      <c r="A634" s="6"/>
      <c r="B634" s="6"/>
      <c r="C634" s="3"/>
    </row>
    <row r="635" spans="1:3" x14ac:dyDescent="0.3">
      <c r="A635" s="6"/>
      <c r="B635" s="6"/>
      <c r="C635" s="3"/>
    </row>
    <row r="636" spans="1:3" x14ac:dyDescent="0.3">
      <c r="A636" s="6"/>
      <c r="B636" s="6"/>
      <c r="C636" s="3"/>
    </row>
    <row r="637" spans="1:3" x14ac:dyDescent="0.3">
      <c r="A637" s="6"/>
      <c r="B637" s="6"/>
      <c r="C637" s="3"/>
    </row>
    <row r="638" spans="1:3" x14ac:dyDescent="0.3">
      <c r="A638" s="6"/>
      <c r="B638" s="6"/>
      <c r="C638" s="3"/>
    </row>
    <row r="639" spans="1:3" x14ac:dyDescent="0.3">
      <c r="A639" s="6"/>
      <c r="B639" s="6"/>
      <c r="C639" s="3"/>
    </row>
    <row r="640" spans="1:3" x14ac:dyDescent="0.3">
      <c r="A640" s="6"/>
      <c r="B640" s="6"/>
      <c r="C640" s="3"/>
    </row>
    <row r="641" spans="1:3" x14ac:dyDescent="0.3">
      <c r="A641" s="6"/>
      <c r="B641" s="6"/>
      <c r="C641" s="3"/>
    </row>
    <row r="642" spans="1:3" x14ac:dyDescent="0.3">
      <c r="A642" s="6"/>
      <c r="B642" s="6"/>
      <c r="C642" s="3"/>
    </row>
    <row r="643" spans="1:3" x14ac:dyDescent="0.3">
      <c r="A643" s="6"/>
      <c r="B643" s="6"/>
      <c r="C643" s="3"/>
    </row>
    <row r="644" spans="1:3" x14ac:dyDescent="0.3">
      <c r="A644" s="6"/>
      <c r="B644" s="6"/>
      <c r="C644" s="3"/>
    </row>
    <row r="645" spans="1:3" x14ac:dyDescent="0.3">
      <c r="A645" s="6"/>
      <c r="B645" s="6"/>
      <c r="C645" s="3"/>
    </row>
    <row r="646" spans="1:3" x14ac:dyDescent="0.3">
      <c r="A646" s="6"/>
      <c r="B646" s="6"/>
      <c r="C646" s="3"/>
    </row>
    <row r="647" spans="1:3" x14ac:dyDescent="0.3">
      <c r="A647" s="6"/>
      <c r="B647" s="6"/>
      <c r="C647" s="3"/>
    </row>
    <row r="648" spans="1:3" x14ac:dyDescent="0.3">
      <c r="A648" s="6"/>
      <c r="B648" s="6"/>
      <c r="C648" s="3"/>
    </row>
    <row r="649" spans="1:3" x14ac:dyDescent="0.3">
      <c r="A649" s="6"/>
      <c r="B649" s="6"/>
      <c r="C649" s="3"/>
    </row>
    <row r="650" spans="1:3" x14ac:dyDescent="0.3">
      <c r="A650" s="6"/>
      <c r="B650" s="6"/>
      <c r="C650" s="3"/>
    </row>
    <row r="651" spans="1:3" x14ac:dyDescent="0.3">
      <c r="A651" s="6"/>
      <c r="B651" s="6"/>
      <c r="C651" s="3"/>
    </row>
    <row r="652" spans="1:3" x14ac:dyDescent="0.3">
      <c r="A652" s="6"/>
      <c r="B652" s="6"/>
      <c r="C652" s="3"/>
    </row>
    <row r="653" spans="1:3" x14ac:dyDescent="0.3">
      <c r="A653" s="6"/>
      <c r="B653" s="6"/>
      <c r="C653" s="3"/>
    </row>
    <row r="654" spans="1:3" x14ac:dyDescent="0.3">
      <c r="A654" s="6"/>
      <c r="B654" s="6"/>
      <c r="C654" s="3"/>
    </row>
    <row r="655" spans="1:3" x14ac:dyDescent="0.3">
      <c r="A655" s="6"/>
      <c r="B655" s="6"/>
      <c r="C655" s="3"/>
    </row>
    <row r="656" spans="1:3" x14ac:dyDescent="0.3">
      <c r="A656" s="6"/>
      <c r="B656" s="6"/>
      <c r="C656" s="3"/>
    </row>
    <row r="657" spans="1:3" x14ac:dyDescent="0.3">
      <c r="A657" s="6"/>
      <c r="B657" s="6"/>
      <c r="C657" s="3"/>
    </row>
    <row r="658" spans="1:3" x14ac:dyDescent="0.3">
      <c r="A658" s="6"/>
      <c r="B658" s="6"/>
      <c r="C658" s="3"/>
    </row>
    <row r="659" spans="1:3" x14ac:dyDescent="0.3">
      <c r="A659" s="6"/>
      <c r="B659" s="6"/>
      <c r="C659" s="3"/>
    </row>
    <row r="660" spans="1:3" x14ac:dyDescent="0.3">
      <c r="A660" s="6"/>
      <c r="B660" s="6"/>
      <c r="C660" s="3"/>
    </row>
    <row r="661" spans="1:3" x14ac:dyDescent="0.3">
      <c r="A661" s="6"/>
      <c r="B661" s="6"/>
      <c r="C661" s="3"/>
    </row>
    <row r="662" spans="1:3" x14ac:dyDescent="0.3">
      <c r="A662" s="6"/>
      <c r="B662" s="6"/>
      <c r="C662" s="3"/>
    </row>
    <row r="663" spans="1:3" x14ac:dyDescent="0.3">
      <c r="A663" s="6"/>
      <c r="B663" s="6"/>
      <c r="C663" s="3"/>
    </row>
    <row r="664" spans="1:3" x14ac:dyDescent="0.3">
      <c r="A664" s="6"/>
      <c r="B664" s="6"/>
      <c r="C664" s="3"/>
    </row>
    <row r="665" spans="1:3" x14ac:dyDescent="0.3">
      <c r="A665" s="6"/>
      <c r="B665" s="6"/>
      <c r="C665" s="3"/>
    </row>
    <row r="666" spans="1:3" x14ac:dyDescent="0.3">
      <c r="A666" s="6"/>
      <c r="B666" s="6"/>
      <c r="C666" s="3"/>
    </row>
    <row r="667" spans="1:3" x14ac:dyDescent="0.3">
      <c r="A667" s="6"/>
      <c r="B667" s="6"/>
      <c r="C667" s="3"/>
    </row>
    <row r="668" spans="1:3" x14ac:dyDescent="0.3">
      <c r="A668" s="6"/>
      <c r="B668" s="6"/>
      <c r="C668" s="3"/>
    </row>
    <row r="669" spans="1:3" x14ac:dyDescent="0.3">
      <c r="A669" s="6"/>
      <c r="B669" s="6"/>
      <c r="C669" s="3"/>
    </row>
    <row r="670" spans="1:3" x14ac:dyDescent="0.3">
      <c r="A670" s="6"/>
      <c r="B670" s="6"/>
      <c r="C670" s="3"/>
    </row>
    <row r="671" spans="1:3" x14ac:dyDescent="0.3">
      <c r="A671" s="6"/>
      <c r="B671" s="6"/>
      <c r="C671" s="3"/>
    </row>
    <row r="672" spans="1:3" x14ac:dyDescent="0.3">
      <c r="A672" s="6"/>
      <c r="B672" s="6"/>
      <c r="C672" s="3"/>
    </row>
    <row r="673" spans="1:3" x14ac:dyDescent="0.3">
      <c r="A673" s="6"/>
      <c r="B673" s="6"/>
      <c r="C673" s="3"/>
    </row>
    <row r="674" spans="1:3" x14ac:dyDescent="0.3">
      <c r="A674" s="6"/>
      <c r="B674" s="6"/>
      <c r="C674" s="3"/>
    </row>
    <row r="675" spans="1:3" x14ac:dyDescent="0.3">
      <c r="A675" s="6"/>
      <c r="B675" s="6"/>
      <c r="C675" s="3"/>
    </row>
    <row r="676" spans="1:3" x14ac:dyDescent="0.3">
      <c r="A676" s="6"/>
      <c r="B676" s="6"/>
      <c r="C676" s="3"/>
    </row>
    <row r="677" spans="1:3" x14ac:dyDescent="0.3">
      <c r="A677" s="6"/>
      <c r="B677" s="6"/>
      <c r="C677" s="3"/>
    </row>
    <row r="678" spans="1:3" x14ac:dyDescent="0.3">
      <c r="A678" s="6"/>
      <c r="B678" s="6"/>
      <c r="C678" s="3"/>
    </row>
    <row r="679" spans="1:3" x14ac:dyDescent="0.3">
      <c r="A679" s="6"/>
      <c r="B679" s="6"/>
      <c r="C679" s="3"/>
    </row>
    <row r="680" spans="1:3" x14ac:dyDescent="0.3">
      <c r="A680" s="6"/>
      <c r="B680" s="6"/>
      <c r="C680" s="3"/>
    </row>
    <row r="681" spans="1:3" x14ac:dyDescent="0.3">
      <c r="A681" s="6"/>
      <c r="B681" s="6"/>
      <c r="C681" s="3"/>
    </row>
    <row r="682" spans="1:3" x14ac:dyDescent="0.3">
      <c r="A682" s="6"/>
      <c r="B682" s="6"/>
      <c r="C682" s="3"/>
    </row>
    <row r="683" spans="1:3" x14ac:dyDescent="0.3">
      <c r="A683" s="6"/>
      <c r="B683" s="6"/>
      <c r="C683" s="3"/>
    </row>
    <row r="684" spans="1:3" x14ac:dyDescent="0.3">
      <c r="A684" s="6"/>
      <c r="B684" s="6"/>
      <c r="C684" s="3"/>
    </row>
    <row r="685" spans="1:3" x14ac:dyDescent="0.3">
      <c r="A685" s="6"/>
      <c r="B685" s="6"/>
      <c r="C685" s="3"/>
    </row>
    <row r="686" spans="1:3" x14ac:dyDescent="0.3">
      <c r="A686" s="6"/>
      <c r="B686" s="6"/>
      <c r="C686" s="3"/>
    </row>
    <row r="687" spans="1:3" x14ac:dyDescent="0.3">
      <c r="A687" s="6"/>
      <c r="B687" s="6"/>
      <c r="C687" s="3"/>
    </row>
    <row r="688" spans="1:3" x14ac:dyDescent="0.3">
      <c r="A688" s="6"/>
      <c r="B688" s="6"/>
      <c r="C688" s="3"/>
    </row>
    <row r="689" spans="1:3" x14ac:dyDescent="0.3">
      <c r="A689" s="6"/>
      <c r="B689" s="6"/>
      <c r="C689" s="3"/>
    </row>
    <row r="690" spans="1:3" x14ac:dyDescent="0.3">
      <c r="A690" s="6"/>
      <c r="B690" s="6"/>
      <c r="C690" s="3"/>
    </row>
    <row r="691" spans="1:3" x14ac:dyDescent="0.3">
      <c r="A691" s="6"/>
      <c r="B691" s="6"/>
      <c r="C691" s="3"/>
    </row>
    <row r="692" spans="1:3" x14ac:dyDescent="0.3">
      <c r="A692" s="6"/>
      <c r="B692" s="6"/>
      <c r="C692" s="3"/>
    </row>
    <row r="693" spans="1:3" x14ac:dyDescent="0.3">
      <c r="A693" s="6"/>
      <c r="B693" s="6"/>
      <c r="C693" s="3"/>
    </row>
    <row r="694" spans="1:3" x14ac:dyDescent="0.3">
      <c r="A694" s="6"/>
      <c r="B694" s="6"/>
      <c r="C694" s="3"/>
    </row>
    <row r="695" spans="1:3" x14ac:dyDescent="0.3">
      <c r="A695" s="6"/>
      <c r="B695" s="6"/>
      <c r="C695" s="3"/>
    </row>
    <row r="696" spans="1:3" x14ac:dyDescent="0.3">
      <c r="A696" s="6"/>
      <c r="B696" s="6"/>
      <c r="C696" s="3"/>
    </row>
    <row r="697" spans="1:3" x14ac:dyDescent="0.3">
      <c r="A697" s="6"/>
      <c r="B697" s="6"/>
      <c r="C697" s="3"/>
    </row>
    <row r="698" spans="1:3" x14ac:dyDescent="0.3">
      <c r="A698" s="6"/>
      <c r="B698" s="6"/>
      <c r="C698" s="3"/>
    </row>
    <row r="699" spans="1:3" x14ac:dyDescent="0.3">
      <c r="A699" s="6"/>
      <c r="B699" s="6"/>
      <c r="C699" s="3"/>
    </row>
    <row r="700" spans="1:3" x14ac:dyDescent="0.3">
      <c r="A700" s="6"/>
      <c r="B700" s="6"/>
      <c r="C700" s="3"/>
    </row>
    <row r="701" spans="1:3" x14ac:dyDescent="0.3">
      <c r="A701" s="6"/>
      <c r="B701" s="6"/>
      <c r="C701" s="3"/>
    </row>
    <row r="702" spans="1:3" x14ac:dyDescent="0.3">
      <c r="A702" s="6"/>
      <c r="B702" s="6"/>
      <c r="C702" s="3"/>
    </row>
    <row r="703" spans="1:3" x14ac:dyDescent="0.3">
      <c r="A703" s="6"/>
      <c r="B703" s="6"/>
      <c r="C703" s="3"/>
    </row>
    <row r="704" spans="1:3" x14ac:dyDescent="0.3">
      <c r="A704" s="6"/>
      <c r="B704" s="6"/>
      <c r="C704" s="3"/>
    </row>
    <row r="705" spans="1:3" x14ac:dyDescent="0.3">
      <c r="A705" s="6"/>
      <c r="B705" s="6"/>
      <c r="C705" s="3"/>
    </row>
    <row r="706" spans="1:3" x14ac:dyDescent="0.3">
      <c r="A706" s="6"/>
      <c r="B706" s="6"/>
      <c r="C706" s="3"/>
    </row>
    <row r="707" spans="1:3" x14ac:dyDescent="0.3">
      <c r="A707" s="6"/>
      <c r="B707" s="6"/>
      <c r="C707" s="3"/>
    </row>
    <row r="708" spans="1:3" x14ac:dyDescent="0.3">
      <c r="A708" s="6"/>
      <c r="B708" s="6"/>
      <c r="C708" s="3"/>
    </row>
    <row r="709" spans="1:3" x14ac:dyDescent="0.3">
      <c r="A709" s="6"/>
      <c r="B709" s="6"/>
      <c r="C709" s="3"/>
    </row>
    <row r="710" spans="1:3" x14ac:dyDescent="0.3">
      <c r="A710" s="6"/>
      <c r="B710" s="6"/>
      <c r="C710" s="3"/>
    </row>
    <row r="711" spans="1:3" x14ac:dyDescent="0.3">
      <c r="A711" s="6"/>
      <c r="B711" s="6"/>
      <c r="C711" s="3"/>
    </row>
    <row r="712" spans="1:3" x14ac:dyDescent="0.3">
      <c r="A712" s="6"/>
      <c r="B712" s="6"/>
      <c r="C712" s="3"/>
    </row>
    <row r="713" spans="1:3" x14ac:dyDescent="0.3">
      <c r="A713" s="6"/>
      <c r="B713" s="6"/>
      <c r="C713" s="3"/>
    </row>
    <row r="714" spans="1:3" x14ac:dyDescent="0.3">
      <c r="A714" s="6"/>
      <c r="B714" s="6"/>
      <c r="C714" s="3"/>
    </row>
    <row r="715" spans="1:3" x14ac:dyDescent="0.3">
      <c r="A715" s="6"/>
      <c r="B715" s="6"/>
      <c r="C715" s="3"/>
    </row>
    <row r="716" spans="1:3" x14ac:dyDescent="0.3">
      <c r="A716" s="6"/>
      <c r="B716" s="6"/>
      <c r="C716" s="3"/>
    </row>
    <row r="717" spans="1:3" x14ac:dyDescent="0.3">
      <c r="A717" s="6"/>
      <c r="B717" s="6"/>
      <c r="C717" s="3"/>
    </row>
    <row r="718" spans="1:3" x14ac:dyDescent="0.3">
      <c r="A718" s="6"/>
      <c r="B718" s="6"/>
      <c r="C718" s="3"/>
    </row>
    <row r="719" spans="1:3" x14ac:dyDescent="0.3">
      <c r="A719" s="6"/>
      <c r="B719" s="6"/>
      <c r="C719" s="3"/>
    </row>
    <row r="720" spans="1:3" x14ac:dyDescent="0.3">
      <c r="A720" s="6"/>
      <c r="B720" s="6"/>
      <c r="C720" s="3"/>
    </row>
    <row r="721" spans="1:3" x14ac:dyDescent="0.3">
      <c r="A721" s="6"/>
      <c r="B721" s="6"/>
      <c r="C721" s="3"/>
    </row>
    <row r="722" spans="1:3" x14ac:dyDescent="0.3">
      <c r="A722" s="6"/>
      <c r="B722" s="6"/>
      <c r="C722" s="3"/>
    </row>
    <row r="723" spans="1:3" x14ac:dyDescent="0.3">
      <c r="A723" s="6"/>
      <c r="B723" s="6"/>
      <c r="C723" s="3"/>
    </row>
    <row r="724" spans="1:3" x14ac:dyDescent="0.3">
      <c r="A724" s="6"/>
      <c r="B724" s="6"/>
      <c r="C724" s="3"/>
    </row>
    <row r="725" spans="1:3" x14ac:dyDescent="0.3">
      <c r="A725" s="6"/>
      <c r="B725" s="6"/>
      <c r="C725" s="3"/>
    </row>
    <row r="726" spans="1:3" x14ac:dyDescent="0.3">
      <c r="A726" s="6"/>
      <c r="B726" s="6"/>
      <c r="C726" s="3"/>
    </row>
    <row r="727" spans="1:3" x14ac:dyDescent="0.3">
      <c r="A727" s="6"/>
      <c r="B727" s="6"/>
      <c r="C727" s="3"/>
    </row>
    <row r="728" spans="1:3" x14ac:dyDescent="0.3">
      <c r="A728" s="6"/>
      <c r="B728" s="6"/>
      <c r="C728" s="3"/>
    </row>
    <row r="729" spans="1:3" x14ac:dyDescent="0.3">
      <c r="A729" s="6"/>
      <c r="B729" s="6"/>
      <c r="C729" s="3"/>
    </row>
    <row r="730" spans="1:3" x14ac:dyDescent="0.3">
      <c r="A730" s="6"/>
      <c r="B730" s="6"/>
      <c r="C730" s="3"/>
    </row>
    <row r="731" spans="1:3" x14ac:dyDescent="0.3">
      <c r="A731" s="6"/>
      <c r="B731" s="6"/>
      <c r="C731" s="3"/>
    </row>
    <row r="732" spans="1:3" x14ac:dyDescent="0.3">
      <c r="A732" s="6"/>
      <c r="B732" s="6"/>
      <c r="C732" s="3"/>
    </row>
    <row r="733" spans="1:3" x14ac:dyDescent="0.3">
      <c r="A733" s="6"/>
      <c r="B733" s="6"/>
      <c r="C733" s="3"/>
    </row>
    <row r="734" spans="1:3" x14ac:dyDescent="0.3">
      <c r="A734" s="6"/>
      <c r="B734" s="6"/>
      <c r="C734" s="3"/>
    </row>
    <row r="735" spans="1:3" x14ac:dyDescent="0.3">
      <c r="A735" s="6"/>
      <c r="B735" s="6"/>
      <c r="C735" s="3"/>
    </row>
    <row r="736" spans="1:3" x14ac:dyDescent="0.3">
      <c r="A736" s="6"/>
      <c r="B736" s="6"/>
      <c r="C736" s="3"/>
    </row>
    <row r="737" spans="1:3" x14ac:dyDescent="0.3">
      <c r="A737" s="6"/>
      <c r="B737" s="6"/>
      <c r="C737" s="3"/>
    </row>
    <row r="738" spans="1:3" x14ac:dyDescent="0.3">
      <c r="A738" s="6"/>
      <c r="B738" s="6"/>
      <c r="C738" s="3"/>
    </row>
    <row r="739" spans="1:3" x14ac:dyDescent="0.3">
      <c r="A739" s="6"/>
      <c r="B739" s="6"/>
      <c r="C739" s="3"/>
    </row>
    <row r="740" spans="1:3" x14ac:dyDescent="0.3">
      <c r="A740" s="6"/>
      <c r="B740" s="6"/>
      <c r="C740" s="3"/>
    </row>
    <row r="741" spans="1:3" x14ac:dyDescent="0.3">
      <c r="A741" s="6"/>
      <c r="B741" s="6"/>
      <c r="C741" s="3"/>
    </row>
    <row r="742" spans="1:3" x14ac:dyDescent="0.3">
      <c r="A742" s="6"/>
      <c r="B742" s="6"/>
      <c r="C742" s="3"/>
    </row>
    <row r="743" spans="1:3" x14ac:dyDescent="0.3">
      <c r="A743" s="6"/>
      <c r="B743" s="6"/>
      <c r="C743" s="3"/>
    </row>
    <row r="744" spans="1:3" x14ac:dyDescent="0.3">
      <c r="A744" s="6"/>
      <c r="B744" s="6"/>
      <c r="C744" s="3"/>
    </row>
    <row r="745" spans="1:3" x14ac:dyDescent="0.3">
      <c r="A745" s="6"/>
      <c r="B745" s="6"/>
      <c r="C745" s="3"/>
    </row>
    <row r="746" spans="1:3" x14ac:dyDescent="0.3">
      <c r="A746" s="6"/>
      <c r="B746" s="6"/>
      <c r="C746" s="3"/>
    </row>
    <row r="747" spans="1:3" x14ac:dyDescent="0.3">
      <c r="A747" s="6"/>
      <c r="B747" s="6"/>
      <c r="C747" s="3"/>
    </row>
    <row r="748" spans="1:3" x14ac:dyDescent="0.3">
      <c r="A748" s="6"/>
      <c r="B748" s="6"/>
      <c r="C748" s="3"/>
    </row>
    <row r="749" spans="1:3" x14ac:dyDescent="0.3">
      <c r="A749" s="6"/>
      <c r="B749" s="6"/>
      <c r="C749" s="3"/>
    </row>
    <row r="750" spans="1:3" x14ac:dyDescent="0.3">
      <c r="A750" s="6"/>
      <c r="B750" s="6"/>
      <c r="C750" s="3"/>
    </row>
    <row r="751" spans="1:3" x14ac:dyDescent="0.3">
      <c r="A751" s="6"/>
      <c r="B751" s="6"/>
      <c r="C751" s="3"/>
    </row>
    <row r="752" spans="1:3" x14ac:dyDescent="0.3">
      <c r="A752" s="6"/>
      <c r="B752" s="6"/>
      <c r="C752" s="3"/>
    </row>
    <row r="753" spans="1:3" x14ac:dyDescent="0.3">
      <c r="A753" s="6"/>
      <c r="B753" s="6"/>
      <c r="C753" s="3"/>
    </row>
    <row r="754" spans="1:3" x14ac:dyDescent="0.3">
      <c r="A754" s="6"/>
      <c r="B754" s="6"/>
      <c r="C754" s="3"/>
    </row>
    <row r="755" spans="1:3" x14ac:dyDescent="0.3">
      <c r="A755" s="6"/>
      <c r="B755" s="6"/>
      <c r="C755" s="3"/>
    </row>
    <row r="756" spans="1:3" x14ac:dyDescent="0.3">
      <c r="A756" s="6"/>
      <c r="B756" s="6"/>
      <c r="C756" s="3"/>
    </row>
    <row r="757" spans="1:3" x14ac:dyDescent="0.3">
      <c r="A757" s="6"/>
      <c r="B757" s="6"/>
      <c r="C757" s="3"/>
    </row>
    <row r="758" spans="1:3" x14ac:dyDescent="0.3">
      <c r="A758" s="6"/>
      <c r="B758" s="6"/>
      <c r="C758" s="3"/>
    </row>
    <row r="759" spans="1:3" x14ac:dyDescent="0.3">
      <c r="A759" s="6"/>
      <c r="B759" s="6"/>
      <c r="C759" s="3"/>
    </row>
    <row r="760" spans="1:3" x14ac:dyDescent="0.3">
      <c r="A760" s="6"/>
      <c r="B760" s="6"/>
      <c r="C760" s="3"/>
    </row>
    <row r="761" spans="1:3" x14ac:dyDescent="0.3">
      <c r="A761" s="6"/>
      <c r="B761" s="6"/>
      <c r="C761" s="3"/>
    </row>
    <row r="762" spans="1:3" x14ac:dyDescent="0.3">
      <c r="A762" s="6"/>
      <c r="B762" s="6"/>
      <c r="C762" s="3"/>
    </row>
    <row r="763" spans="1:3" x14ac:dyDescent="0.3">
      <c r="A763" s="6"/>
      <c r="B763" s="6"/>
      <c r="C763" s="3"/>
    </row>
    <row r="764" spans="1:3" x14ac:dyDescent="0.3">
      <c r="A764" s="6"/>
      <c r="B764" s="6"/>
      <c r="C764" s="3"/>
    </row>
    <row r="765" spans="1:3" x14ac:dyDescent="0.3">
      <c r="A765" s="6"/>
      <c r="B765" s="6"/>
      <c r="C765" s="3"/>
    </row>
    <row r="766" spans="1:3" x14ac:dyDescent="0.3">
      <c r="A766" s="6"/>
      <c r="B766" s="6"/>
      <c r="C766" s="3"/>
    </row>
    <row r="767" spans="1:3" x14ac:dyDescent="0.3">
      <c r="A767" s="6"/>
      <c r="B767" s="6"/>
      <c r="C767" s="3"/>
    </row>
    <row r="768" spans="1:3" x14ac:dyDescent="0.3">
      <c r="A768" s="6"/>
      <c r="B768" s="6"/>
      <c r="C768" s="3"/>
    </row>
    <row r="769" spans="1:3" x14ac:dyDescent="0.3">
      <c r="A769" s="6"/>
      <c r="B769" s="6"/>
      <c r="C769" s="3"/>
    </row>
    <row r="770" spans="1:3" x14ac:dyDescent="0.3">
      <c r="A770" s="6"/>
      <c r="B770" s="6"/>
      <c r="C770" s="3"/>
    </row>
    <row r="771" spans="1:3" x14ac:dyDescent="0.3">
      <c r="A771" s="6"/>
      <c r="B771" s="6"/>
      <c r="C771" s="3"/>
    </row>
    <row r="772" spans="1:3" x14ac:dyDescent="0.3">
      <c r="A772" s="6"/>
      <c r="B772" s="6"/>
      <c r="C772" s="3"/>
    </row>
    <row r="773" spans="1:3" x14ac:dyDescent="0.3">
      <c r="A773" s="6"/>
      <c r="B773" s="6"/>
      <c r="C773" s="3"/>
    </row>
    <row r="774" spans="1:3" x14ac:dyDescent="0.3">
      <c r="A774" s="6"/>
      <c r="B774" s="6"/>
      <c r="C774" s="3"/>
    </row>
    <row r="775" spans="1:3" x14ac:dyDescent="0.3">
      <c r="A775" s="6"/>
      <c r="B775" s="6"/>
      <c r="C775" s="3"/>
    </row>
    <row r="776" spans="1:3" x14ac:dyDescent="0.3">
      <c r="A776" s="6"/>
      <c r="B776" s="6"/>
      <c r="C776" s="3"/>
    </row>
    <row r="777" spans="1:3" x14ac:dyDescent="0.3">
      <c r="A777" s="6"/>
      <c r="B777" s="6"/>
      <c r="C777" s="3"/>
    </row>
    <row r="778" spans="1:3" x14ac:dyDescent="0.3">
      <c r="A778" s="6"/>
      <c r="B778" s="6"/>
      <c r="C778" s="3"/>
    </row>
    <row r="779" spans="1:3" x14ac:dyDescent="0.3">
      <c r="A779" s="6"/>
      <c r="B779" s="6"/>
      <c r="C779" s="3"/>
    </row>
    <row r="780" spans="1:3" x14ac:dyDescent="0.3">
      <c r="A780" s="6"/>
      <c r="B780" s="6"/>
      <c r="C780" s="3"/>
    </row>
    <row r="781" spans="1:3" x14ac:dyDescent="0.3">
      <c r="A781" s="6"/>
      <c r="B781" s="6"/>
      <c r="C781" s="3"/>
    </row>
    <row r="782" spans="1:3" x14ac:dyDescent="0.3">
      <c r="A782" s="6"/>
      <c r="B782" s="6"/>
      <c r="C782" s="3"/>
    </row>
    <row r="783" spans="1:3" x14ac:dyDescent="0.3">
      <c r="A783" s="6"/>
      <c r="B783" s="6"/>
      <c r="C783" s="3"/>
    </row>
    <row r="784" spans="1:3" x14ac:dyDescent="0.3">
      <c r="A784" s="6"/>
      <c r="B784" s="6"/>
      <c r="C784" s="3"/>
    </row>
    <row r="785" spans="1:3" x14ac:dyDescent="0.3">
      <c r="A785" s="6"/>
      <c r="B785" s="6"/>
      <c r="C785" s="3"/>
    </row>
    <row r="786" spans="1:3" x14ac:dyDescent="0.3">
      <c r="A786" s="6"/>
      <c r="B786" s="6"/>
      <c r="C786" s="3"/>
    </row>
    <row r="787" spans="1:3" x14ac:dyDescent="0.3">
      <c r="A787" s="6"/>
      <c r="B787" s="6"/>
      <c r="C787" s="3"/>
    </row>
    <row r="788" spans="1:3" x14ac:dyDescent="0.3">
      <c r="A788" s="6"/>
      <c r="B788" s="6"/>
      <c r="C788" s="3"/>
    </row>
    <row r="789" spans="1:3" x14ac:dyDescent="0.3">
      <c r="A789" s="6"/>
      <c r="B789" s="6"/>
      <c r="C789" s="3"/>
    </row>
    <row r="790" spans="1:3" x14ac:dyDescent="0.3">
      <c r="A790" s="6"/>
      <c r="B790" s="6"/>
      <c r="C790" s="3"/>
    </row>
    <row r="791" spans="1:3" x14ac:dyDescent="0.3">
      <c r="A791" s="6"/>
      <c r="B791" s="6"/>
      <c r="C791" s="3"/>
    </row>
    <row r="792" spans="1:3" x14ac:dyDescent="0.3">
      <c r="A792" s="6"/>
      <c r="B792" s="6"/>
      <c r="C792" s="3"/>
    </row>
    <row r="793" spans="1:3" x14ac:dyDescent="0.3">
      <c r="A793" s="6"/>
      <c r="B793" s="6"/>
      <c r="C793" s="3"/>
    </row>
    <row r="794" spans="1:3" x14ac:dyDescent="0.3">
      <c r="A794" s="6"/>
      <c r="B794" s="6"/>
      <c r="C794" s="3"/>
    </row>
    <row r="795" spans="1:3" x14ac:dyDescent="0.3">
      <c r="A795" s="6"/>
      <c r="B795" s="6"/>
      <c r="C795" s="3"/>
    </row>
    <row r="796" spans="1:3" x14ac:dyDescent="0.3">
      <c r="A796" s="6"/>
      <c r="B796" s="6"/>
      <c r="C796" s="3"/>
    </row>
    <row r="797" spans="1:3" x14ac:dyDescent="0.3">
      <c r="A797" s="6"/>
      <c r="B797" s="6"/>
      <c r="C797" s="3"/>
    </row>
    <row r="798" spans="1:3" x14ac:dyDescent="0.3">
      <c r="A798" s="6"/>
      <c r="B798" s="6"/>
      <c r="C798" s="3"/>
    </row>
    <row r="799" spans="1:3" x14ac:dyDescent="0.3">
      <c r="A799" s="6"/>
      <c r="B799" s="6"/>
      <c r="C799" s="3"/>
    </row>
    <row r="800" spans="1:3" x14ac:dyDescent="0.3">
      <c r="A800" s="6"/>
      <c r="B800" s="6"/>
      <c r="C800" s="3"/>
    </row>
    <row r="801" spans="1:3" x14ac:dyDescent="0.3">
      <c r="A801" s="6"/>
      <c r="B801" s="6"/>
      <c r="C801" s="3"/>
    </row>
    <row r="802" spans="1:3" x14ac:dyDescent="0.3">
      <c r="A802" s="6"/>
      <c r="B802" s="6"/>
      <c r="C802" s="3"/>
    </row>
    <row r="803" spans="1:3" x14ac:dyDescent="0.3">
      <c r="A803" s="6"/>
      <c r="B803" s="6"/>
      <c r="C803" s="3"/>
    </row>
    <row r="804" spans="1:3" x14ac:dyDescent="0.3">
      <c r="A804" s="6"/>
      <c r="B804" s="6"/>
      <c r="C804" s="3"/>
    </row>
    <row r="805" spans="1:3" x14ac:dyDescent="0.3">
      <c r="A805" s="6"/>
      <c r="B805" s="6"/>
      <c r="C805" s="3"/>
    </row>
    <row r="806" spans="1:3" x14ac:dyDescent="0.3">
      <c r="A806" s="6"/>
      <c r="B806" s="6"/>
      <c r="C806" s="3"/>
    </row>
    <row r="807" spans="1:3" x14ac:dyDescent="0.3">
      <c r="A807" s="6"/>
      <c r="B807" s="6"/>
      <c r="C807" s="3"/>
    </row>
    <row r="808" spans="1:3" x14ac:dyDescent="0.3">
      <c r="A808" s="6"/>
      <c r="B808" s="6"/>
      <c r="C808" s="3"/>
    </row>
    <row r="809" spans="1:3" x14ac:dyDescent="0.3">
      <c r="A809" s="6"/>
      <c r="B809" s="6"/>
      <c r="C809" s="3"/>
    </row>
    <row r="810" spans="1:3" x14ac:dyDescent="0.3">
      <c r="A810" s="6"/>
      <c r="B810" s="6"/>
      <c r="C810" s="3"/>
    </row>
    <row r="811" spans="1:3" x14ac:dyDescent="0.3">
      <c r="A811" s="6"/>
      <c r="B811" s="6"/>
      <c r="C811" s="3"/>
    </row>
    <row r="812" spans="1:3" x14ac:dyDescent="0.3">
      <c r="A812" s="6"/>
      <c r="B812" s="6"/>
      <c r="C812" s="3"/>
    </row>
    <row r="813" spans="1:3" x14ac:dyDescent="0.3">
      <c r="A813" s="6"/>
      <c r="B813" s="6"/>
      <c r="C813" s="3"/>
    </row>
    <row r="814" spans="1:3" x14ac:dyDescent="0.3">
      <c r="A814" s="6"/>
      <c r="B814" s="6"/>
      <c r="C814" s="3"/>
    </row>
    <row r="815" spans="1:3" x14ac:dyDescent="0.3">
      <c r="A815" s="6"/>
      <c r="B815" s="6"/>
      <c r="C815" s="3"/>
    </row>
    <row r="816" spans="1:3" x14ac:dyDescent="0.3">
      <c r="A816" s="6"/>
      <c r="B816" s="6"/>
      <c r="C816" s="3"/>
    </row>
    <row r="817" spans="1:3" x14ac:dyDescent="0.3">
      <c r="A817" s="6"/>
      <c r="B817" s="6"/>
      <c r="C817" s="3"/>
    </row>
    <row r="818" spans="1:3" x14ac:dyDescent="0.3">
      <c r="A818" s="6"/>
      <c r="B818" s="6"/>
      <c r="C818" s="3"/>
    </row>
    <row r="819" spans="1:3" x14ac:dyDescent="0.3">
      <c r="A819" s="6"/>
      <c r="B819" s="6"/>
      <c r="C819" s="3"/>
    </row>
    <row r="820" spans="1:3" x14ac:dyDescent="0.3">
      <c r="A820" s="6"/>
      <c r="B820" s="6"/>
      <c r="C820" s="3"/>
    </row>
    <row r="821" spans="1:3" x14ac:dyDescent="0.3">
      <c r="A821" s="6"/>
      <c r="B821" s="6"/>
      <c r="C821" s="3"/>
    </row>
    <row r="822" spans="1:3" x14ac:dyDescent="0.3">
      <c r="A822" s="6"/>
      <c r="B822" s="6"/>
      <c r="C822" s="3"/>
    </row>
    <row r="823" spans="1:3" x14ac:dyDescent="0.3">
      <c r="A823" s="6"/>
      <c r="B823" s="6"/>
      <c r="C823" s="3"/>
    </row>
    <row r="824" spans="1:3" x14ac:dyDescent="0.3">
      <c r="A824" s="6"/>
      <c r="B824" s="6"/>
      <c r="C824" s="3"/>
    </row>
    <row r="825" spans="1:3" x14ac:dyDescent="0.3">
      <c r="A825" s="6"/>
      <c r="B825" s="6"/>
      <c r="C825" s="3"/>
    </row>
    <row r="826" spans="1:3" x14ac:dyDescent="0.3">
      <c r="A826" s="6"/>
      <c r="B826" s="6"/>
      <c r="C826" s="3"/>
    </row>
    <row r="827" spans="1:3" x14ac:dyDescent="0.3">
      <c r="A827" s="6"/>
      <c r="B827" s="6"/>
      <c r="C827" s="3"/>
    </row>
    <row r="828" spans="1:3" x14ac:dyDescent="0.3">
      <c r="A828" s="6"/>
      <c r="B828" s="6"/>
      <c r="C828" s="3"/>
    </row>
    <row r="829" spans="1:3" x14ac:dyDescent="0.3">
      <c r="A829" s="6"/>
      <c r="B829" s="6"/>
      <c r="C829" s="3"/>
    </row>
    <row r="830" spans="1:3" x14ac:dyDescent="0.3">
      <c r="A830" s="6"/>
      <c r="B830" s="6"/>
      <c r="C830" s="3"/>
    </row>
    <row r="831" spans="1:3" x14ac:dyDescent="0.3">
      <c r="A831" s="6"/>
      <c r="B831" s="6"/>
      <c r="C831" s="3"/>
    </row>
    <row r="832" spans="1:3" x14ac:dyDescent="0.3">
      <c r="A832" s="6"/>
      <c r="B832" s="6"/>
      <c r="C832" s="3"/>
    </row>
    <row r="833" spans="1:3" x14ac:dyDescent="0.3">
      <c r="A833" s="6"/>
      <c r="B833" s="6"/>
      <c r="C833" s="3"/>
    </row>
    <row r="834" spans="1:3" x14ac:dyDescent="0.3">
      <c r="A834" s="6"/>
      <c r="B834" s="6"/>
      <c r="C834" s="3"/>
    </row>
    <row r="835" spans="1:3" x14ac:dyDescent="0.3">
      <c r="A835" s="6"/>
      <c r="B835" s="6"/>
      <c r="C835" s="3"/>
    </row>
    <row r="836" spans="1:3" x14ac:dyDescent="0.3">
      <c r="A836" s="6"/>
      <c r="B836" s="6"/>
      <c r="C836" s="3"/>
    </row>
    <row r="837" spans="1:3" x14ac:dyDescent="0.3">
      <c r="A837" s="6"/>
      <c r="B837" s="6"/>
      <c r="C837" s="3"/>
    </row>
    <row r="838" spans="1:3" x14ac:dyDescent="0.3">
      <c r="A838" s="6"/>
      <c r="B838" s="6"/>
      <c r="C838" s="3"/>
    </row>
    <row r="839" spans="1:3" x14ac:dyDescent="0.3">
      <c r="A839" s="6"/>
      <c r="B839" s="6"/>
      <c r="C839" s="3"/>
    </row>
    <row r="840" spans="1:3" x14ac:dyDescent="0.3">
      <c r="A840" s="6"/>
      <c r="B840" s="6"/>
      <c r="C840" s="3"/>
    </row>
    <row r="841" spans="1:3" x14ac:dyDescent="0.3">
      <c r="A841" s="6"/>
      <c r="B841" s="6"/>
      <c r="C841" s="3"/>
    </row>
    <row r="842" spans="1:3" x14ac:dyDescent="0.3">
      <c r="A842" s="6"/>
      <c r="B842" s="6"/>
      <c r="C842" s="3"/>
    </row>
    <row r="843" spans="1:3" x14ac:dyDescent="0.3">
      <c r="A843" s="6"/>
      <c r="B843" s="6"/>
      <c r="C843" s="3"/>
    </row>
    <row r="844" spans="1:3" x14ac:dyDescent="0.3">
      <c r="A844" s="6"/>
      <c r="B844" s="6"/>
      <c r="C844" s="3"/>
    </row>
    <row r="845" spans="1:3" x14ac:dyDescent="0.3">
      <c r="A845" s="6"/>
      <c r="B845" s="6"/>
      <c r="C845" s="3"/>
    </row>
    <row r="846" spans="1:3" x14ac:dyDescent="0.3">
      <c r="A846" s="6"/>
      <c r="B846" s="6"/>
      <c r="C846" s="3"/>
    </row>
    <row r="847" spans="1:3" x14ac:dyDescent="0.3">
      <c r="A847" s="6"/>
      <c r="B847" s="6"/>
      <c r="C847" s="3"/>
    </row>
    <row r="848" spans="1:3" x14ac:dyDescent="0.3">
      <c r="A848" s="6"/>
      <c r="B848" s="6"/>
      <c r="C848" s="3"/>
    </row>
    <row r="849" spans="1:3" x14ac:dyDescent="0.3">
      <c r="A849" s="6"/>
      <c r="B849" s="6"/>
      <c r="C849" s="3"/>
    </row>
    <row r="850" spans="1:3" x14ac:dyDescent="0.3">
      <c r="A850" s="6"/>
      <c r="B850" s="6"/>
      <c r="C850" s="3"/>
    </row>
    <row r="851" spans="1:3" x14ac:dyDescent="0.3">
      <c r="A851" s="6"/>
      <c r="B851" s="6"/>
      <c r="C851" s="3"/>
    </row>
    <row r="852" spans="1:3" x14ac:dyDescent="0.3">
      <c r="A852" s="6"/>
      <c r="B852" s="6"/>
      <c r="C852" s="3"/>
    </row>
    <row r="853" spans="1:3" x14ac:dyDescent="0.3">
      <c r="A853" s="6"/>
      <c r="B853" s="6"/>
      <c r="C853" s="3"/>
    </row>
    <row r="854" spans="1:3" x14ac:dyDescent="0.3">
      <c r="A854" s="6"/>
      <c r="B854" s="6"/>
      <c r="C854" s="3"/>
    </row>
    <row r="855" spans="1:3" x14ac:dyDescent="0.3">
      <c r="A855" s="6"/>
      <c r="B855" s="6"/>
      <c r="C855" s="3"/>
    </row>
    <row r="856" spans="1:3" x14ac:dyDescent="0.3">
      <c r="A856" s="6"/>
      <c r="B856" s="6"/>
      <c r="C856" s="3"/>
    </row>
    <row r="857" spans="1:3" x14ac:dyDescent="0.3">
      <c r="A857" s="6"/>
      <c r="B857" s="6"/>
      <c r="C857" s="3"/>
    </row>
    <row r="858" spans="1:3" x14ac:dyDescent="0.3">
      <c r="A858" s="6"/>
      <c r="B858" s="6"/>
      <c r="C858" s="3"/>
    </row>
    <row r="859" spans="1:3" x14ac:dyDescent="0.3">
      <c r="A859" s="6"/>
      <c r="B859" s="6"/>
      <c r="C859" s="3"/>
    </row>
    <row r="860" spans="1:3" x14ac:dyDescent="0.3">
      <c r="A860" s="6"/>
      <c r="B860" s="6"/>
      <c r="C860" s="3"/>
    </row>
    <row r="861" spans="1:3" x14ac:dyDescent="0.3">
      <c r="A861" s="6"/>
      <c r="B861" s="6"/>
      <c r="C861" s="3"/>
    </row>
    <row r="862" spans="1:3" x14ac:dyDescent="0.3">
      <c r="A862" s="6"/>
      <c r="B862" s="6"/>
      <c r="C862" s="3"/>
    </row>
    <row r="863" spans="1:3" x14ac:dyDescent="0.3">
      <c r="A863" s="6"/>
      <c r="B863" s="6"/>
      <c r="C863" s="3"/>
    </row>
    <row r="864" spans="1:3" x14ac:dyDescent="0.3">
      <c r="A864" s="6"/>
      <c r="B864" s="6"/>
      <c r="C864" s="3"/>
    </row>
    <row r="865" spans="1:3" x14ac:dyDescent="0.3">
      <c r="A865" s="6"/>
      <c r="B865" s="6"/>
      <c r="C865" s="3"/>
    </row>
    <row r="866" spans="1:3" x14ac:dyDescent="0.3">
      <c r="A866" s="6"/>
      <c r="B866" s="6"/>
      <c r="C866" s="3"/>
    </row>
    <row r="867" spans="1:3" x14ac:dyDescent="0.3">
      <c r="A867" s="6"/>
      <c r="B867" s="6"/>
      <c r="C867" s="3"/>
    </row>
    <row r="868" spans="1:3" x14ac:dyDescent="0.3">
      <c r="A868" s="6"/>
      <c r="B868" s="6"/>
      <c r="C868" s="3"/>
    </row>
    <row r="869" spans="1:3" x14ac:dyDescent="0.3">
      <c r="A869" s="6"/>
      <c r="B869" s="6"/>
      <c r="C869" s="3"/>
    </row>
    <row r="870" spans="1:3" x14ac:dyDescent="0.3">
      <c r="A870" s="6"/>
      <c r="B870" s="6"/>
      <c r="C870" s="3"/>
    </row>
    <row r="871" spans="1:3" x14ac:dyDescent="0.3">
      <c r="A871" s="6"/>
      <c r="B871" s="6"/>
      <c r="C871" s="3"/>
    </row>
    <row r="872" spans="1:3" x14ac:dyDescent="0.3">
      <c r="A872" s="6"/>
      <c r="B872" s="6"/>
      <c r="C872" s="3"/>
    </row>
    <row r="873" spans="1:3" x14ac:dyDescent="0.3">
      <c r="A873" s="6"/>
      <c r="B873" s="6"/>
      <c r="C873" s="3"/>
    </row>
    <row r="874" spans="1:3" x14ac:dyDescent="0.3">
      <c r="A874" s="6"/>
      <c r="B874" s="6"/>
      <c r="C874" s="3"/>
    </row>
    <row r="875" spans="1:3" x14ac:dyDescent="0.3">
      <c r="A875" s="6"/>
      <c r="B875" s="6"/>
      <c r="C875" s="3"/>
    </row>
    <row r="876" spans="1:3" x14ac:dyDescent="0.3">
      <c r="A876" s="6"/>
      <c r="B876" s="6"/>
      <c r="C876" s="3"/>
    </row>
    <row r="877" spans="1:3" x14ac:dyDescent="0.3">
      <c r="A877" s="6"/>
      <c r="B877" s="6"/>
      <c r="C877" s="3"/>
    </row>
    <row r="878" spans="1:3" x14ac:dyDescent="0.3">
      <c r="A878" s="6"/>
      <c r="B878" s="6"/>
      <c r="C878" s="3"/>
    </row>
    <row r="879" spans="1:3" x14ac:dyDescent="0.3">
      <c r="A879" s="6"/>
      <c r="B879" s="6"/>
      <c r="C879" s="3"/>
    </row>
    <row r="880" spans="1:3" x14ac:dyDescent="0.3">
      <c r="A880" s="6"/>
      <c r="B880" s="6"/>
      <c r="C880" s="3"/>
    </row>
    <row r="881" spans="1:3" x14ac:dyDescent="0.3">
      <c r="A881" s="6"/>
      <c r="B881" s="6"/>
      <c r="C881" s="3"/>
    </row>
    <row r="882" spans="1:3" x14ac:dyDescent="0.3">
      <c r="A882" s="6"/>
      <c r="B882" s="6"/>
      <c r="C882" s="3"/>
    </row>
    <row r="883" spans="1:3" x14ac:dyDescent="0.3">
      <c r="A883" s="6"/>
      <c r="B883" s="6"/>
      <c r="C883" s="3"/>
    </row>
    <row r="884" spans="1:3" x14ac:dyDescent="0.3">
      <c r="A884" s="6"/>
      <c r="B884" s="6"/>
      <c r="C884" s="3"/>
    </row>
    <row r="885" spans="1:3" x14ac:dyDescent="0.3">
      <c r="A885" s="6"/>
      <c r="B885" s="6"/>
      <c r="C885" s="3"/>
    </row>
    <row r="886" spans="1:3" x14ac:dyDescent="0.3">
      <c r="A886" s="6"/>
      <c r="B886" s="6"/>
      <c r="C886" s="3"/>
    </row>
    <row r="887" spans="1:3" x14ac:dyDescent="0.3">
      <c r="A887" s="6"/>
      <c r="B887" s="6"/>
      <c r="C887" s="3"/>
    </row>
    <row r="888" spans="1:3" x14ac:dyDescent="0.3">
      <c r="A888" s="6"/>
      <c r="B888" s="6"/>
      <c r="C888" s="3"/>
    </row>
    <row r="889" spans="1:3" x14ac:dyDescent="0.3">
      <c r="A889" s="6"/>
      <c r="B889" s="6"/>
      <c r="C889" s="3"/>
    </row>
    <row r="890" spans="1:3" x14ac:dyDescent="0.3">
      <c r="A890" s="6"/>
      <c r="B890" s="6"/>
      <c r="C890" s="3"/>
    </row>
    <row r="891" spans="1:3" x14ac:dyDescent="0.3">
      <c r="A891" s="6"/>
      <c r="B891" s="6"/>
      <c r="C891" s="3"/>
    </row>
    <row r="892" spans="1:3" x14ac:dyDescent="0.3">
      <c r="A892" s="6"/>
      <c r="B892" s="6"/>
      <c r="C892" s="3"/>
    </row>
    <row r="893" spans="1:3" x14ac:dyDescent="0.3">
      <c r="A893" s="6"/>
      <c r="B893" s="6"/>
      <c r="C893" s="3"/>
    </row>
    <row r="894" spans="1:3" x14ac:dyDescent="0.3">
      <c r="A894" s="6"/>
      <c r="B894" s="6"/>
      <c r="C894" s="3"/>
    </row>
    <row r="895" spans="1:3" x14ac:dyDescent="0.3">
      <c r="A895" s="6"/>
      <c r="B895" s="6"/>
      <c r="C895" s="3"/>
    </row>
    <row r="896" spans="1:3" x14ac:dyDescent="0.3">
      <c r="A896" s="6"/>
      <c r="B896" s="6"/>
      <c r="C896" s="3"/>
    </row>
    <row r="897" spans="1:3" x14ac:dyDescent="0.3">
      <c r="A897" s="6"/>
      <c r="B897" s="6"/>
      <c r="C897" s="3"/>
    </row>
    <row r="898" spans="1:3" x14ac:dyDescent="0.3">
      <c r="A898" s="6"/>
      <c r="B898" s="6"/>
      <c r="C898" s="3"/>
    </row>
    <row r="899" spans="1:3" x14ac:dyDescent="0.3">
      <c r="A899" s="6"/>
      <c r="B899" s="6"/>
      <c r="C899" s="3"/>
    </row>
    <row r="900" spans="1:3" x14ac:dyDescent="0.3">
      <c r="A900" s="6"/>
      <c r="B900" s="6"/>
      <c r="C900" s="3"/>
    </row>
    <row r="901" spans="1:3" x14ac:dyDescent="0.3">
      <c r="A901" s="6"/>
      <c r="B901" s="6"/>
      <c r="C901" s="3"/>
    </row>
    <row r="902" spans="1:3" x14ac:dyDescent="0.3">
      <c r="A902" s="6"/>
      <c r="B902" s="6"/>
      <c r="C902" s="3"/>
    </row>
    <row r="903" spans="1:3" x14ac:dyDescent="0.3">
      <c r="A903" s="6"/>
      <c r="B903" s="6"/>
      <c r="C903" s="3"/>
    </row>
    <row r="904" spans="1:3" x14ac:dyDescent="0.3">
      <c r="A904" s="6"/>
      <c r="B904" s="6"/>
      <c r="C904" s="3"/>
    </row>
    <row r="905" spans="1:3" x14ac:dyDescent="0.3">
      <c r="A905" s="6"/>
      <c r="B905" s="6"/>
      <c r="C905" s="3"/>
    </row>
    <row r="906" spans="1:3" x14ac:dyDescent="0.3">
      <c r="A906" s="6"/>
      <c r="B906" s="6"/>
      <c r="C906" s="3"/>
    </row>
    <row r="907" spans="1:3" x14ac:dyDescent="0.3">
      <c r="A907" s="6"/>
      <c r="B907" s="6"/>
      <c r="C907" s="3"/>
    </row>
    <row r="908" spans="1:3" x14ac:dyDescent="0.3">
      <c r="A908" s="6"/>
      <c r="B908" s="6"/>
      <c r="C908" s="3"/>
    </row>
    <row r="909" spans="1:3" x14ac:dyDescent="0.3">
      <c r="A909" s="6"/>
      <c r="B909" s="6"/>
      <c r="C909" s="3"/>
    </row>
    <row r="910" spans="1:3" x14ac:dyDescent="0.3">
      <c r="A910" s="6"/>
      <c r="B910" s="6"/>
      <c r="C910" s="3"/>
    </row>
    <row r="911" spans="1:3" x14ac:dyDescent="0.3">
      <c r="A911" s="6"/>
      <c r="B911" s="6"/>
      <c r="C911" s="3"/>
    </row>
    <row r="912" spans="1:3" x14ac:dyDescent="0.3">
      <c r="A912" s="6"/>
      <c r="B912" s="6"/>
      <c r="C912" s="3"/>
    </row>
    <row r="913" spans="1:3" x14ac:dyDescent="0.3">
      <c r="A913" s="6"/>
      <c r="B913" s="6"/>
      <c r="C913" s="3"/>
    </row>
    <row r="914" spans="1:3" x14ac:dyDescent="0.3">
      <c r="A914" s="6"/>
      <c r="B914" s="6"/>
      <c r="C914" s="3"/>
    </row>
    <row r="915" spans="1:3" x14ac:dyDescent="0.3">
      <c r="A915" s="6"/>
      <c r="B915" s="6"/>
      <c r="C915" s="3"/>
    </row>
    <row r="916" spans="1:3" x14ac:dyDescent="0.3">
      <c r="A916" s="6"/>
      <c r="B916" s="6"/>
      <c r="C916" s="3"/>
    </row>
    <row r="917" spans="1:3" x14ac:dyDescent="0.3">
      <c r="A917" s="6"/>
      <c r="B917" s="6"/>
      <c r="C917" s="3"/>
    </row>
    <row r="918" spans="1:3" x14ac:dyDescent="0.3">
      <c r="A918" s="6"/>
      <c r="B918" s="6"/>
      <c r="C918" s="3"/>
    </row>
    <row r="919" spans="1:3" x14ac:dyDescent="0.3">
      <c r="A919" s="6"/>
      <c r="B919" s="6"/>
      <c r="C919" s="3"/>
    </row>
    <row r="920" spans="1:3" x14ac:dyDescent="0.3">
      <c r="A920" s="6"/>
      <c r="B920" s="6"/>
      <c r="C920" s="3"/>
    </row>
    <row r="921" spans="1:3" x14ac:dyDescent="0.3">
      <c r="A921" s="6"/>
      <c r="B921" s="6"/>
      <c r="C921" s="3"/>
    </row>
    <row r="922" spans="1:3" x14ac:dyDescent="0.3">
      <c r="A922" s="6"/>
      <c r="B922" s="6"/>
      <c r="C922" s="3"/>
    </row>
    <row r="923" spans="1:3" x14ac:dyDescent="0.3">
      <c r="A923" s="6"/>
      <c r="B923" s="6"/>
      <c r="C923" s="3"/>
    </row>
    <row r="924" spans="1:3" x14ac:dyDescent="0.3">
      <c r="A924" s="6"/>
      <c r="B924" s="6"/>
      <c r="C924" s="3"/>
    </row>
    <row r="925" spans="1:3" x14ac:dyDescent="0.3">
      <c r="A925" s="6"/>
      <c r="B925" s="6"/>
      <c r="C925" s="3"/>
    </row>
    <row r="926" spans="1:3" x14ac:dyDescent="0.3">
      <c r="A926" s="6"/>
      <c r="B926" s="6"/>
      <c r="C926" s="3"/>
    </row>
    <row r="927" spans="1:3" x14ac:dyDescent="0.3">
      <c r="A927" s="6"/>
      <c r="B927" s="6"/>
      <c r="C927" s="3"/>
    </row>
    <row r="928" spans="1:3" x14ac:dyDescent="0.3">
      <c r="A928" s="6"/>
      <c r="B928" s="6"/>
      <c r="C928" s="3"/>
    </row>
    <row r="929" spans="1:3" x14ac:dyDescent="0.3">
      <c r="A929" s="6"/>
      <c r="B929" s="6"/>
      <c r="C929" s="3"/>
    </row>
    <row r="930" spans="1:3" x14ac:dyDescent="0.3">
      <c r="A930" s="6"/>
      <c r="B930" s="6"/>
      <c r="C930" s="3"/>
    </row>
    <row r="931" spans="1:3" x14ac:dyDescent="0.3">
      <c r="A931" s="6"/>
      <c r="B931" s="6"/>
      <c r="C931" s="3"/>
    </row>
    <row r="932" spans="1:3" x14ac:dyDescent="0.3">
      <c r="A932" s="6"/>
      <c r="B932" s="6"/>
      <c r="C932" s="3"/>
    </row>
    <row r="933" spans="1:3" x14ac:dyDescent="0.3">
      <c r="A933" s="6"/>
      <c r="B933" s="6"/>
      <c r="C933" s="3"/>
    </row>
    <row r="934" spans="1:3" x14ac:dyDescent="0.3">
      <c r="A934" s="6"/>
      <c r="B934" s="6"/>
      <c r="C934" s="3"/>
    </row>
    <row r="935" spans="1:3" x14ac:dyDescent="0.3">
      <c r="A935" s="6"/>
      <c r="B935" s="6"/>
      <c r="C935" s="3"/>
    </row>
    <row r="936" spans="1:3" x14ac:dyDescent="0.3">
      <c r="A936" s="6"/>
      <c r="B936" s="6"/>
      <c r="C936" s="3"/>
    </row>
    <row r="937" spans="1:3" x14ac:dyDescent="0.3">
      <c r="A937" s="6"/>
      <c r="B937" s="6"/>
      <c r="C937" s="3"/>
    </row>
    <row r="938" spans="1:3" x14ac:dyDescent="0.3">
      <c r="A938" s="6"/>
      <c r="B938" s="6"/>
      <c r="C938" s="3"/>
    </row>
    <row r="939" spans="1:3" x14ac:dyDescent="0.3">
      <c r="A939" s="6"/>
      <c r="B939" s="6"/>
      <c r="C939" s="3"/>
    </row>
    <row r="940" spans="1:3" x14ac:dyDescent="0.3">
      <c r="A940" s="6"/>
      <c r="B940" s="6"/>
      <c r="C940" s="3"/>
    </row>
    <row r="941" spans="1:3" x14ac:dyDescent="0.3">
      <c r="A941" s="6"/>
      <c r="B941" s="6"/>
      <c r="C941" s="3"/>
    </row>
    <row r="942" spans="1:3" x14ac:dyDescent="0.3">
      <c r="A942" s="6"/>
      <c r="B942" s="6"/>
      <c r="C942" s="3"/>
    </row>
    <row r="943" spans="1:3" x14ac:dyDescent="0.3">
      <c r="A943" s="6"/>
      <c r="B943" s="6"/>
      <c r="C943" s="3"/>
    </row>
    <row r="944" spans="1:3" x14ac:dyDescent="0.3">
      <c r="A944" s="6"/>
      <c r="B944" s="6"/>
      <c r="C944" s="3"/>
    </row>
    <row r="945" spans="1:3" x14ac:dyDescent="0.3">
      <c r="A945" s="6"/>
      <c r="B945" s="6"/>
      <c r="C945" s="3"/>
    </row>
    <row r="946" spans="1:3" x14ac:dyDescent="0.3">
      <c r="A946" s="6"/>
      <c r="B946" s="6"/>
      <c r="C946" s="3"/>
    </row>
    <row r="947" spans="1:3" x14ac:dyDescent="0.3">
      <c r="A947" s="6"/>
      <c r="B947" s="6"/>
      <c r="C947" s="3"/>
    </row>
    <row r="948" spans="1:3" x14ac:dyDescent="0.3">
      <c r="A948" s="6"/>
      <c r="B948" s="6"/>
      <c r="C948" s="3"/>
    </row>
    <row r="949" spans="1:3" x14ac:dyDescent="0.3">
      <c r="A949" s="6"/>
      <c r="B949" s="6"/>
      <c r="C949" s="3"/>
    </row>
    <row r="950" spans="1:3" x14ac:dyDescent="0.3">
      <c r="A950" s="6"/>
      <c r="B950" s="6"/>
      <c r="C950" s="3"/>
    </row>
    <row r="951" spans="1:3" x14ac:dyDescent="0.3">
      <c r="A951" s="6"/>
      <c r="B951" s="6"/>
      <c r="C951" s="3"/>
    </row>
    <row r="952" spans="1:3" x14ac:dyDescent="0.3">
      <c r="A952" s="6"/>
      <c r="B952" s="6"/>
      <c r="C952" s="3"/>
    </row>
    <row r="953" spans="1:3" x14ac:dyDescent="0.3">
      <c r="A953" s="6"/>
      <c r="B953" s="6"/>
      <c r="C953" s="3"/>
    </row>
    <row r="954" spans="1:3" x14ac:dyDescent="0.3">
      <c r="A954" s="6"/>
      <c r="B954" s="6"/>
      <c r="C954" s="3"/>
    </row>
    <row r="955" spans="1:3" x14ac:dyDescent="0.3">
      <c r="A955" s="6"/>
      <c r="B955" s="6"/>
      <c r="C955" s="3"/>
    </row>
    <row r="956" spans="1:3" x14ac:dyDescent="0.3">
      <c r="A956" s="6"/>
      <c r="B956" s="6"/>
      <c r="C956" s="3"/>
    </row>
    <row r="957" spans="1:3" x14ac:dyDescent="0.3">
      <c r="A957" s="6"/>
      <c r="B957" s="6"/>
      <c r="C957" s="3"/>
    </row>
    <row r="958" spans="1:3" x14ac:dyDescent="0.3">
      <c r="A958" s="6"/>
      <c r="B958" s="6"/>
      <c r="C958" s="3"/>
    </row>
    <row r="959" spans="1:3" x14ac:dyDescent="0.3">
      <c r="A959" s="6"/>
      <c r="B959" s="6"/>
      <c r="C959" s="3"/>
    </row>
    <row r="960" spans="1:3" x14ac:dyDescent="0.3">
      <c r="A960" s="6"/>
      <c r="B960" s="6"/>
      <c r="C960" s="3"/>
    </row>
    <row r="961" spans="1:3" x14ac:dyDescent="0.3">
      <c r="A961" s="6"/>
      <c r="B961" s="6"/>
      <c r="C961" s="3"/>
    </row>
    <row r="962" spans="1:3" x14ac:dyDescent="0.3">
      <c r="A962" s="6"/>
      <c r="B962" s="6"/>
      <c r="C962" s="3"/>
    </row>
    <row r="963" spans="1:3" x14ac:dyDescent="0.3">
      <c r="A963" s="6"/>
      <c r="B963" s="6"/>
      <c r="C963" s="3"/>
    </row>
    <row r="964" spans="1:3" x14ac:dyDescent="0.3">
      <c r="A964" s="6"/>
      <c r="B964" s="6"/>
      <c r="C964" s="3"/>
    </row>
    <row r="965" spans="1:3" x14ac:dyDescent="0.3">
      <c r="A965" s="6"/>
      <c r="B965" s="6"/>
      <c r="C965" s="3"/>
    </row>
    <row r="966" spans="1:3" x14ac:dyDescent="0.3">
      <c r="A966" s="6"/>
      <c r="B966" s="6"/>
      <c r="C966" s="3"/>
    </row>
    <row r="967" spans="1:3" x14ac:dyDescent="0.3">
      <c r="A967" s="6"/>
      <c r="B967" s="6"/>
      <c r="C967" s="3"/>
    </row>
    <row r="968" spans="1:3" x14ac:dyDescent="0.3">
      <c r="A968" s="6"/>
      <c r="B968" s="6"/>
      <c r="C968" s="3"/>
    </row>
    <row r="969" spans="1:3" x14ac:dyDescent="0.3">
      <c r="A969" s="6"/>
      <c r="B969" s="6"/>
      <c r="C969" s="3"/>
    </row>
    <row r="970" spans="1:3" x14ac:dyDescent="0.3">
      <c r="A970" s="6"/>
      <c r="B970" s="6"/>
      <c r="C970" s="3"/>
    </row>
    <row r="971" spans="1:3" x14ac:dyDescent="0.3">
      <c r="A971" s="6"/>
      <c r="B971" s="6"/>
      <c r="C971" s="3"/>
    </row>
    <row r="972" spans="1:3" x14ac:dyDescent="0.3">
      <c r="A972" s="6"/>
      <c r="B972" s="6"/>
      <c r="C972" s="3"/>
    </row>
    <row r="973" spans="1:3" x14ac:dyDescent="0.3">
      <c r="A973" s="6"/>
      <c r="B973" s="6"/>
      <c r="C973" s="3"/>
    </row>
    <row r="974" spans="1:3" x14ac:dyDescent="0.3">
      <c r="A974" s="6"/>
      <c r="B974" s="6"/>
      <c r="C974" s="3"/>
    </row>
    <row r="975" spans="1:3" x14ac:dyDescent="0.3">
      <c r="A975" s="6"/>
      <c r="B975" s="6"/>
      <c r="C975" s="3"/>
    </row>
    <row r="976" spans="1:3" x14ac:dyDescent="0.3">
      <c r="A976" s="6"/>
      <c r="B976" s="6"/>
      <c r="C976" s="3"/>
    </row>
    <row r="977" spans="1:3" x14ac:dyDescent="0.3">
      <c r="A977" s="6"/>
      <c r="B977" s="6"/>
      <c r="C977" s="3"/>
    </row>
    <row r="978" spans="1:3" x14ac:dyDescent="0.3">
      <c r="A978" s="6"/>
      <c r="B978" s="6"/>
      <c r="C978" s="3"/>
    </row>
    <row r="979" spans="1:3" x14ac:dyDescent="0.3">
      <c r="A979" s="6"/>
      <c r="B979" s="6"/>
      <c r="C979" s="3"/>
    </row>
    <row r="980" spans="1:3" x14ac:dyDescent="0.3">
      <c r="A980" s="6"/>
      <c r="B980" s="6"/>
      <c r="C980" s="3"/>
    </row>
    <row r="981" spans="1:3" x14ac:dyDescent="0.3">
      <c r="A981" s="6"/>
      <c r="B981" s="6"/>
      <c r="C981" s="3"/>
    </row>
    <row r="982" spans="1:3" x14ac:dyDescent="0.3">
      <c r="A982" s="6"/>
      <c r="B982" s="6"/>
      <c r="C982" s="3"/>
    </row>
    <row r="983" spans="1:3" x14ac:dyDescent="0.3">
      <c r="A983" s="6"/>
      <c r="B983" s="6"/>
      <c r="C983" s="3"/>
    </row>
    <row r="984" spans="1:3" x14ac:dyDescent="0.3">
      <c r="A984" s="6"/>
      <c r="B984" s="6"/>
      <c r="C984" s="3"/>
    </row>
    <row r="985" spans="1:3" x14ac:dyDescent="0.3">
      <c r="A985" s="6"/>
      <c r="B985" s="6"/>
      <c r="C985" s="3"/>
    </row>
    <row r="986" spans="1:3" x14ac:dyDescent="0.3">
      <c r="A986" s="6"/>
      <c r="B986" s="6"/>
      <c r="C986" s="3"/>
    </row>
    <row r="987" spans="1:3" x14ac:dyDescent="0.3">
      <c r="A987" s="6"/>
      <c r="B987" s="6"/>
      <c r="C987" s="3"/>
    </row>
    <row r="988" spans="1:3" x14ac:dyDescent="0.3">
      <c r="A988" s="6"/>
      <c r="B988" s="6"/>
      <c r="C988" s="3"/>
    </row>
    <row r="989" spans="1:3" x14ac:dyDescent="0.3">
      <c r="A989" s="6"/>
      <c r="B989" s="6"/>
      <c r="C989" s="3"/>
    </row>
    <row r="990" spans="1:3" x14ac:dyDescent="0.3">
      <c r="A990" s="6"/>
      <c r="B990" s="6"/>
      <c r="C990" s="3"/>
    </row>
    <row r="991" spans="1:3" x14ac:dyDescent="0.3">
      <c r="A991" s="6"/>
      <c r="B991" s="6"/>
      <c r="C991" s="3"/>
    </row>
    <row r="992" spans="1:3" x14ac:dyDescent="0.3">
      <c r="A992" s="6"/>
      <c r="B992" s="6"/>
      <c r="C992" s="3"/>
    </row>
    <row r="993" spans="1:3" x14ac:dyDescent="0.3">
      <c r="A993" s="6"/>
      <c r="B993" s="6"/>
      <c r="C993" s="3"/>
    </row>
    <row r="994" spans="1:3" x14ac:dyDescent="0.3">
      <c r="A994" s="6"/>
      <c r="B994" s="6"/>
      <c r="C994" s="3"/>
    </row>
    <row r="995" spans="1:3" x14ac:dyDescent="0.3">
      <c r="A995" s="6"/>
      <c r="B995" s="6"/>
      <c r="C995" s="3"/>
    </row>
    <row r="996" spans="1:3" x14ac:dyDescent="0.3">
      <c r="A996" s="6"/>
      <c r="B996" s="6"/>
      <c r="C996" s="3"/>
    </row>
    <row r="997" spans="1:3" x14ac:dyDescent="0.3">
      <c r="A997" s="6"/>
      <c r="B997" s="6"/>
      <c r="C997" s="3"/>
    </row>
    <row r="998" spans="1:3" x14ac:dyDescent="0.3">
      <c r="A998" s="6"/>
      <c r="B998" s="6"/>
      <c r="C998" s="3"/>
    </row>
    <row r="999" spans="1:3" x14ac:dyDescent="0.3">
      <c r="A999" s="6"/>
      <c r="B999" s="6"/>
      <c r="C999" s="3"/>
    </row>
    <row r="1000" spans="1:3" x14ac:dyDescent="0.3">
      <c r="A1000" s="6"/>
      <c r="B1000" s="6"/>
      <c r="C1000" s="3"/>
    </row>
    <row r="1001" spans="1:3" x14ac:dyDescent="0.3">
      <c r="A1001" s="6"/>
      <c r="B1001" s="6"/>
      <c r="C1001" s="3"/>
    </row>
    <row r="1002" spans="1:3" x14ac:dyDescent="0.3">
      <c r="A1002" s="6"/>
      <c r="B1002" s="6"/>
      <c r="C1002" s="3"/>
    </row>
    <row r="1003" spans="1:3" x14ac:dyDescent="0.3">
      <c r="A1003" s="6"/>
      <c r="B1003" s="6"/>
      <c r="C1003" s="3"/>
    </row>
    <row r="1004" spans="1:3" x14ac:dyDescent="0.3">
      <c r="A1004" s="6"/>
      <c r="B1004" s="6"/>
      <c r="C1004" s="3"/>
    </row>
    <row r="1005" spans="1:3" x14ac:dyDescent="0.3">
      <c r="A1005" s="6"/>
      <c r="B1005" s="6"/>
      <c r="C1005" s="3"/>
    </row>
    <row r="1006" spans="1:3" x14ac:dyDescent="0.3">
      <c r="A1006" s="6"/>
      <c r="B1006" s="6"/>
      <c r="C1006" s="3"/>
    </row>
    <row r="1007" spans="1:3" x14ac:dyDescent="0.3">
      <c r="A1007" s="6"/>
      <c r="B1007" s="6"/>
      <c r="C1007" s="3"/>
    </row>
    <row r="1008" spans="1:3" x14ac:dyDescent="0.3">
      <c r="A1008" s="6"/>
      <c r="B1008" s="6"/>
      <c r="C1008" s="3"/>
    </row>
    <row r="1009" spans="1:3" x14ac:dyDescent="0.3">
      <c r="A1009" s="6"/>
      <c r="B1009" s="6"/>
      <c r="C1009" s="3"/>
    </row>
    <row r="1010" spans="1:3" x14ac:dyDescent="0.3">
      <c r="A1010" s="6"/>
      <c r="B1010" s="6"/>
      <c r="C1010" s="3"/>
    </row>
    <row r="1011" spans="1:3" x14ac:dyDescent="0.3">
      <c r="A1011" s="6"/>
      <c r="B1011" s="6"/>
      <c r="C1011" s="3"/>
    </row>
    <row r="1012" spans="1:3" x14ac:dyDescent="0.3">
      <c r="A1012" s="6"/>
      <c r="B1012" s="6"/>
      <c r="C1012" s="3"/>
    </row>
    <row r="1013" spans="1:3" x14ac:dyDescent="0.3">
      <c r="A1013" s="6"/>
      <c r="B1013" s="6"/>
      <c r="C1013" s="3"/>
    </row>
    <row r="1014" spans="1:3" x14ac:dyDescent="0.3">
      <c r="A1014" s="6"/>
      <c r="B1014" s="6"/>
      <c r="C1014" s="3"/>
    </row>
    <row r="1015" spans="1:3" x14ac:dyDescent="0.3">
      <c r="A1015" s="6"/>
      <c r="B1015" s="6"/>
      <c r="C1015" s="3"/>
    </row>
    <row r="1016" spans="1:3" x14ac:dyDescent="0.3">
      <c r="A1016" s="6"/>
      <c r="B1016" s="6"/>
      <c r="C1016" s="3"/>
    </row>
    <row r="1017" spans="1:3" x14ac:dyDescent="0.3">
      <c r="A1017" s="6"/>
      <c r="B1017" s="6"/>
      <c r="C1017" s="3"/>
    </row>
    <row r="1018" spans="1:3" x14ac:dyDescent="0.3">
      <c r="A1018" s="6"/>
      <c r="B1018" s="6"/>
      <c r="C1018" s="3"/>
    </row>
    <row r="1019" spans="1:3" x14ac:dyDescent="0.3">
      <c r="A1019" s="6"/>
      <c r="B1019" s="6"/>
      <c r="C1019" s="3"/>
    </row>
    <row r="1020" spans="1:3" x14ac:dyDescent="0.3">
      <c r="A1020" s="6"/>
      <c r="B1020" s="6"/>
      <c r="C1020" s="3"/>
    </row>
    <row r="1021" spans="1:3" x14ac:dyDescent="0.3">
      <c r="A1021" s="6"/>
      <c r="B1021" s="6"/>
      <c r="C1021" s="3"/>
    </row>
    <row r="1022" spans="1:3" x14ac:dyDescent="0.3">
      <c r="A1022" s="6"/>
      <c r="B1022" s="6"/>
      <c r="C1022" s="3"/>
    </row>
    <row r="1023" spans="1:3" x14ac:dyDescent="0.3">
      <c r="A1023" s="6"/>
      <c r="B1023" s="6"/>
      <c r="C1023" s="3"/>
    </row>
    <row r="1024" spans="1:3" x14ac:dyDescent="0.3">
      <c r="A1024" s="6"/>
      <c r="B1024" s="6"/>
      <c r="C1024" s="3"/>
    </row>
    <row r="1025" spans="1:3" x14ac:dyDescent="0.3">
      <c r="A1025" s="6"/>
      <c r="B1025" s="6"/>
      <c r="C1025" s="3"/>
    </row>
    <row r="1026" spans="1:3" x14ac:dyDescent="0.3">
      <c r="A1026" s="6"/>
      <c r="B1026" s="6"/>
      <c r="C1026" s="3"/>
    </row>
    <row r="1027" spans="1:3" x14ac:dyDescent="0.3">
      <c r="A1027" s="6"/>
      <c r="B1027" s="6"/>
      <c r="C1027" s="3"/>
    </row>
    <row r="1028" spans="1:3" x14ac:dyDescent="0.3">
      <c r="A1028" s="6"/>
      <c r="B1028" s="6"/>
      <c r="C1028" s="3"/>
    </row>
    <row r="1029" spans="1:3" x14ac:dyDescent="0.3">
      <c r="A1029" s="6"/>
      <c r="B1029" s="6"/>
      <c r="C1029" s="3"/>
    </row>
    <row r="1030" spans="1:3" x14ac:dyDescent="0.3">
      <c r="A1030" s="6"/>
      <c r="B1030" s="6"/>
      <c r="C1030" s="3"/>
    </row>
    <row r="1031" spans="1:3" x14ac:dyDescent="0.3">
      <c r="A1031" s="6"/>
      <c r="B1031" s="6"/>
      <c r="C1031" s="3"/>
    </row>
    <row r="1032" spans="1:3" x14ac:dyDescent="0.3">
      <c r="A1032" s="6"/>
      <c r="B1032" s="6"/>
      <c r="C1032" s="3"/>
    </row>
    <row r="1033" spans="1:3" x14ac:dyDescent="0.3">
      <c r="A1033" s="6"/>
      <c r="B1033" s="6"/>
      <c r="C1033" s="3"/>
    </row>
    <row r="1034" spans="1:3" x14ac:dyDescent="0.3">
      <c r="A1034" s="6"/>
      <c r="B1034" s="6"/>
      <c r="C1034" s="3"/>
    </row>
    <row r="1035" spans="1:3" x14ac:dyDescent="0.3">
      <c r="A1035" s="6"/>
      <c r="B1035" s="6"/>
      <c r="C1035" s="3"/>
    </row>
    <row r="1036" spans="1:3" x14ac:dyDescent="0.3">
      <c r="A1036" s="6"/>
      <c r="B1036" s="6"/>
      <c r="C1036" s="3"/>
    </row>
    <row r="1037" spans="1:3" x14ac:dyDescent="0.3">
      <c r="A1037" s="6"/>
      <c r="B1037" s="6"/>
      <c r="C1037" s="3"/>
    </row>
    <row r="1038" spans="1:3" x14ac:dyDescent="0.3">
      <c r="A1038" s="6"/>
      <c r="B1038" s="6"/>
      <c r="C1038" s="3"/>
    </row>
    <row r="1039" spans="1:3" x14ac:dyDescent="0.3">
      <c r="A1039" s="6"/>
      <c r="B1039" s="6"/>
      <c r="C1039" s="3"/>
    </row>
    <row r="1040" spans="1:3" x14ac:dyDescent="0.3">
      <c r="A1040" s="6"/>
      <c r="B1040" s="6"/>
      <c r="C1040" s="3"/>
    </row>
    <row r="1041" spans="1:3" x14ac:dyDescent="0.3">
      <c r="A1041" s="6"/>
      <c r="B1041" s="6"/>
      <c r="C1041" s="3"/>
    </row>
    <row r="1042" spans="1:3" x14ac:dyDescent="0.3">
      <c r="A1042" s="6"/>
      <c r="B1042" s="6"/>
      <c r="C1042" s="3"/>
    </row>
    <row r="1043" spans="1:3" x14ac:dyDescent="0.3">
      <c r="A1043" s="6"/>
      <c r="B1043" s="6"/>
      <c r="C1043" s="3"/>
    </row>
    <row r="1044" spans="1:3" x14ac:dyDescent="0.3">
      <c r="A1044" s="6"/>
      <c r="B1044" s="6"/>
      <c r="C1044" s="3"/>
    </row>
    <row r="1045" spans="1:3" x14ac:dyDescent="0.3">
      <c r="A1045" s="6"/>
      <c r="B1045" s="6"/>
      <c r="C1045" s="3"/>
    </row>
    <row r="1046" spans="1:3" x14ac:dyDescent="0.3">
      <c r="A1046" s="6"/>
      <c r="B1046" s="6"/>
      <c r="C1046" s="3"/>
    </row>
    <row r="1047" spans="1:3" x14ac:dyDescent="0.3">
      <c r="A1047" s="6"/>
      <c r="B1047" s="6"/>
      <c r="C1047" s="3"/>
    </row>
    <row r="1048" spans="1:3" x14ac:dyDescent="0.3">
      <c r="A1048" s="6"/>
      <c r="B1048" s="6"/>
      <c r="C1048" s="3"/>
    </row>
    <row r="1049" spans="1:3" x14ac:dyDescent="0.3">
      <c r="A1049" s="6"/>
      <c r="B1049" s="6"/>
      <c r="C1049" s="3"/>
    </row>
    <row r="1050" spans="1:3" x14ac:dyDescent="0.3">
      <c r="A1050" s="6"/>
      <c r="B1050" s="6"/>
      <c r="C1050" s="3"/>
    </row>
    <row r="1051" spans="1:3" x14ac:dyDescent="0.3">
      <c r="A1051" s="6"/>
      <c r="B1051" s="6"/>
      <c r="C1051" s="3"/>
    </row>
    <row r="1052" spans="1:3" x14ac:dyDescent="0.3">
      <c r="A1052" s="6"/>
      <c r="B1052" s="6"/>
      <c r="C1052" s="3"/>
    </row>
    <row r="1053" spans="1:3" x14ac:dyDescent="0.3">
      <c r="A1053" s="6"/>
      <c r="B1053" s="6"/>
      <c r="C1053" s="3"/>
    </row>
    <row r="1054" spans="1:3" x14ac:dyDescent="0.3">
      <c r="A1054" s="6"/>
      <c r="B1054" s="6"/>
      <c r="C1054" s="3"/>
    </row>
    <row r="1055" spans="1:3" x14ac:dyDescent="0.3">
      <c r="A1055" s="6"/>
      <c r="B1055" s="6"/>
      <c r="C1055" s="3"/>
    </row>
    <row r="1056" spans="1:3" x14ac:dyDescent="0.3">
      <c r="A1056" s="6"/>
      <c r="B1056" s="6"/>
      <c r="C1056" s="3"/>
    </row>
    <row r="1057" spans="1:3" x14ac:dyDescent="0.3">
      <c r="A1057" s="6"/>
      <c r="B1057" s="6"/>
      <c r="C1057" s="3"/>
    </row>
    <row r="1058" spans="1:3" x14ac:dyDescent="0.3">
      <c r="A1058" s="6"/>
      <c r="B1058" s="6"/>
      <c r="C1058" s="3"/>
    </row>
    <row r="1059" spans="1:3" x14ac:dyDescent="0.3">
      <c r="A1059" s="6"/>
      <c r="B1059" s="6"/>
      <c r="C1059" s="3"/>
    </row>
    <row r="1060" spans="1:3" x14ac:dyDescent="0.3">
      <c r="A1060" s="6"/>
      <c r="B1060" s="6"/>
      <c r="C1060" s="3"/>
    </row>
    <row r="1061" spans="1:3" x14ac:dyDescent="0.3">
      <c r="A1061" s="6"/>
      <c r="B1061" s="6"/>
      <c r="C1061" s="3"/>
    </row>
    <row r="1062" spans="1:3" x14ac:dyDescent="0.3">
      <c r="A1062" s="6"/>
      <c r="B1062" s="6"/>
      <c r="C1062" s="3"/>
    </row>
    <row r="1063" spans="1:3" x14ac:dyDescent="0.3">
      <c r="A1063" s="6"/>
      <c r="B1063" s="6"/>
      <c r="C1063" s="3"/>
    </row>
    <row r="1064" spans="1:3" x14ac:dyDescent="0.3">
      <c r="A1064" s="6"/>
      <c r="B1064" s="6"/>
      <c r="C1064" s="3"/>
    </row>
    <row r="1065" spans="1:3" x14ac:dyDescent="0.3">
      <c r="A1065" s="6"/>
      <c r="B1065" s="6"/>
      <c r="C1065" s="3"/>
    </row>
    <row r="1066" spans="1:3" x14ac:dyDescent="0.3">
      <c r="A1066" s="6"/>
      <c r="B1066" s="6"/>
      <c r="C1066" s="3"/>
    </row>
    <row r="1067" spans="1:3" x14ac:dyDescent="0.3">
      <c r="A1067" s="6"/>
      <c r="B1067" s="6"/>
      <c r="C1067" s="3"/>
    </row>
    <row r="1068" spans="1:3" x14ac:dyDescent="0.3">
      <c r="A1068" s="6"/>
      <c r="B1068" s="6"/>
      <c r="C1068" s="3"/>
    </row>
    <row r="1069" spans="1:3" x14ac:dyDescent="0.3">
      <c r="A1069" s="6"/>
      <c r="B1069" s="6"/>
      <c r="C1069" s="3"/>
    </row>
    <row r="1070" spans="1:3" x14ac:dyDescent="0.3">
      <c r="A1070" s="6"/>
      <c r="B1070" s="6"/>
      <c r="C1070" s="3"/>
    </row>
    <row r="1071" spans="1:3" x14ac:dyDescent="0.3">
      <c r="A1071" s="6"/>
      <c r="B1071" s="6"/>
      <c r="C1071" s="3"/>
    </row>
    <row r="1072" spans="1:3" x14ac:dyDescent="0.3">
      <c r="A1072" s="6"/>
      <c r="B1072" s="6"/>
      <c r="C1072" s="3"/>
    </row>
    <row r="1073" spans="1:3" x14ac:dyDescent="0.3">
      <c r="A1073" s="6"/>
      <c r="B1073" s="6"/>
      <c r="C1073" s="3"/>
    </row>
    <row r="1074" spans="1:3" x14ac:dyDescent="0.3">
      <c r="A1074" s="6"/>
      <c r="B1074" s="6"/>
      <c r="C1074" s="3"/>
    </row>
    <row r="1075" spans="1:3" x14ac:dyDescent="0.3">
      <c r="A1075" s="6"/>
      <c r="B1075" s="6"/>
      <c r="C1075" s="3"/>
    </row>
    <row r="1076" spans="1:3" x14ac:dyDescent="0.3">
      <c r="A1076" s="6"/>
      <c r="B1076" s="6"/>
      <c r="C1076" s="3"/>
    </row>
    <row r="1077" spans="1:3" x14ac:dyDescent="0.3">
      <c r="A1077" s="6"/>
      <c r="B1077" s="6"/>
      <c r="C1077" s="3"/>
    </row>
    <row r="1078" spans="1:3" x14ac:dyDescent="0.3">
      <c r="A1078" s="6"/>
      <c r="B1078" s="6"/>
      <c r="C1078" s="3"/>
    </row>
    <row r="1079" spans="1:3" x14ac:dyDescent="0.3">
      <c r="A1079" s="6"/>
      <c r="B1079" s="6"/>
      <c r="C1079" s="3"/>
    </row>
    <row r="1080" spans="1:3" x14ac:dyDescent="0.3">
      <c r="A1080" s="6"/>
      <c r="B1080" s="6"/>
      <c r="C1080" s="3"/>
    </row>
    <row r="1081" spans="1:3" x14ac:dyDescent="0.3">
      <c r="A1081" s="6"/>
      <c r="B1081" s="6"/>
      <c r="C1081" s="3"/>
    </row>
    <row r="1082" spans="1:3" x14ac:dyDescent="0.3">
      <c r="A1082" s="6"/>
      <c r="B1082" s="6"/>
      <c r="C1082" s="3"/>
    </row>
    <row r="1083" spans="1:3" x14ac:dyDescent="0.3">
      <c r="A1083" s="6"/>
      <c r="B1083" s="6"/>
      <c r="C1083" s="3"/>
    </row>
    <row r="1084" spans="1:3" x14ac:dyDescent="0.3">
      <c r="A1084" s="6"/>
      <c r="B1084" s="6"/>
      <c r="C1084" s="3"/>
    </row>
    <row r="1085" spans="1:3" x14ac:dyDescent="0.3">
      <c r="A1085" s="6"/>
      <c r="B1085" s="6"/>
      <c r="C1085" s="3"/>
    </row>
    <row r="1086" spans="1:3" x14ac:dyDescent="0.3">
      <c r="A1086" s="6"/>
      <c r="B1086" s="6"/>
      <c r="C1086" s="3"/>
    </row>
    <row r="1087" spans="1:3" x14ac:dyDescent="0.3">
      <c r="A1087" s="6"/>
      <c r="B1087" s="6"/>
      <c r="C1087" s="3"/>
    </row>
    <row r="1088" spans="1:3" x14ac:dyDescent="0.3">
      <c r="A1088" s="6"/>
      <c r="B1088" s="6"/>
      <c r="C1088" s="3"/>
    </row>
    <row r="1089" spans="1:3" x14ac:dyDescent="0.3">
      <c r="A1089" s="6"/>
      <c r="B1089" s="6"/>
      <c r="C1089" s="3"/>
    </row>
    <row r="1090" spans="1:3" x14ac:dyDescent="0.3">
      <c r="A1090" s="6"/>
      <c r="B1090" s="6"/>
      <c r="C1090" s="3"/>
    </row>
    <row r="1091" spans="1:3" x14ac:dyDescent="0.3">
      <c r="A1091" s="6"/>
      <c r="B1091" s="6"/>
      <c r="C1091" s="3"/>
    </row>
    <row r="1092" spans="1:3" x14ac:dyDescent="0.3">
      <c r="A1092" s="6"/>
      <c r="B1092" s="6"/>
      <c r="C1092" s="3"/>
    </row>
    <row r="1093" spans="1:3" x14ac:dyDescent="0.3">
      <c r="A1093" s="6"/>
      <c r="B1093" s="6"/>
      <c r="C1093" s="3"/>
    </row>
    <row r="1094" spans="1:3" x14ac:dyDescent="0.3">
      <c r="A1094" s="6"/>
      <c r="B1094" s="6"/>
      <c r="C1094" s="3"/>
    </row>
    <row r="1095" spans="1:3" x14ac:dyDescent="0.3">
      <c r="A1095" s="6"/>
      <c r="B1095" s="6"/>
      <c r="C1095" s="3"/>
    </row>
    <row r="1096" spans="1:3" x14ac:dyDescent="0.3">
      <c r="A1096" s="6"/>
      <c r="B1096" s="6"/>
      <c r="C1096" s="3"/>
    </row>
    <row r="1097" spans="1:3" x14ac:dyDescent="0.3">
      <c r="A1097" s="6"/>
      <c r="B1097" s="6"/>
      <c r="C1097" s="3"/>
    </row>
    <row r="1098" spans="1:3" x14ac:dyDescent="0.3">
      <c r="A1098" s="6"/>
      <c r="B1098" s="6"/>
      <c r="C1098" s="3"/>
    </row>
    <row r="1099" spans="1:3" x14ac:dyDescent="0.3">
      <c r="A1099" s="6"/>
      <c r="B1099" s="6"/>
      <c r="C1099" s="3"/>
    </row>
    <row r="1100" spans="1:3" x14ac:dyDescent="0.3">
      <c r="A1100" s="6"/>
      <c r="B1100" s="6"/>
      <c r="C1100" s="3"/>
    </row>
    <row r="1101" spans="1:3" x14ac:dyDescent="0.3">
      <c r="A1101" s="6"/>
      <c r="B1101" s="6"/>
      <c r="C1101" s="3"/>
    </row>
    <row r="1102" spans="1:3" x14ac:dyDescent="0.3">
      <c r="A1102" s="6"/>
      <c r="B1102" s="6"/>
      <c r="C1102" s="3"/>
    </row>
    <row r="1103" spans="1:3" x14ac:dyDescent="0.3">
      <c r="A1103" s="6"/>
      <c r="B1103" s="6"/>
      <c r="C1103" s="3"/>
    </row>
    <row r="1104" spans="1:3" x14ac:dyDescent="0.3">
      <c r="A1104" s="6"/>
      <c r="B1104" s="6"/>
      <c r="C1104" s="3"/>
    </row>
    <row r="1105" spans="1:3" x14ac:dyDescent="0.3">
      <c r="A1105" s="6"/>
      <c r="B1105" s="6"/>
      <c r="C1105" s="3"/>
    </row>
    <row r="1106" spans="1:3" x14ac:dyDescent="0.3">
      <c r="A1106" s="6"/>
      <c r="B1106" s="6"/>
      <c r="C1106" s="3"/>
    </row>
    <row r="1107" spans="1:3" x14ac:dyDescent="0.3">
      <c r="A1107" s="6"/>
      <c r="B1107" s="6"/>
      <c r="C1107" s="3"/>
    </row>
    <row r="1108" spans="1:3" x14ac:dyDescent="0.3">
      <c r="A1108" s="6"/>
      <c r="B1108" s="6"/>
      <c r="C1108" s="3"/>
    </row>
    <row r="1109" spans="1:3" x14ac:dyDescent="0.3">
      <c r="A1109" s="6"/>
      <c r="B1109" s="6"/>
      <c r="C1109" s="3"/>
    </row>
    <row r="1110" spans="1:3" x14ac:dyDescent="0.3">
      <c r="A1110" s="6"/>
      <c r="B1110" s="6"/>
      <c r="C1110" s="3"/>
    </row>
    <row r="1111" spans="1:3" x14ac:dyDescent="0.3">
      <c r="A1111" s="6"/>
      <c r="B1111" s="6"/>
      <c r="C1111" s="3"/>
    </row>
    <row r="1112" spans="1:3" x14ac:dyDescent="0.3">
      <c r="A1112" s="6"/>
      <c r="B1112" s="6"/>
      <c r="C1112" s="3"/>
    </row>
    <row r="1113" spans="1:3" x14ac:dyDescent="0.3">
      <c r="A1113" s="6"/>
      <c r="B1113" s="6"/>
      <c r="C1113" s="3"/>
    </row>
    <row r="1114" spans="1:3" x14ac:dyDescent="0.3">
      <c r="A1114" s="6"/>
      <c r="B1114" s="6"/>
      <c r="C1114" s="3"/>
    </row>
    <row r="1115" spans="1:3" x14ac:dyDescent="0.3">
      <c r="A1115" s="6"/>
      <c r="B1115" s="6"/>
      <c r="C1115" s="3"/>
    </row>
    <row r="1116" spans="1:3" x14ac:dyDescent="0.3">
      <c r="A1116" s="6"/>
      <c r="B1116" s="6"/>
      <c r="C1116" s="3"/>
    </row>
    <row r="1117" spans="1:3" x14ac:dyDescent="0.3">
      <c r="A1117" s="6"/>
      <c r="B1117" s="6"/>
      <c r="C1117" s="3"/>
    </row>
    <row r="1118" spans="1:3" x14ac:dyDescent="0.3">
      <c r="A1118" s="6"/>
      <c r="B1118" s="6"/>
      <c r="C1118" s="3"/>
    </row>
    <row r="1119" spans="1:3" x14ac:dyDescent="0.3">
      <c r="A1119" s="6"/>
      <c r="B1119" s="6"/>
      <c r="C1119" s="3"/>
    </row>
    <row r="1120" spans="1:3" x14ac:dyDescent="0.3">
      <c r="A1120" s="6"/>
      <c r="B1120" s="6"/>
      <c r="C1120" s="3"/>
    </row>
    <row r="1121" spans="1:3" x14ac:dyDescent="0.3">
      <c r="A1121" s="6"/>
      <c r="B1121" s="6"/>
      <c r="C1121" s="3"/>
    </row>
    <row r="1122" spans="1:3" x14ac:dyDescent="0.3">
      <c r="A1122" s="6"/>
      <c r="B1122" s="6"/>
      <c r="C1122" s="3"/>
    </row>
    <row r="1123" spans="1:3" x14ac:dyDescent="0.3">
      <c r="A1123" s="6"/>
      <c r="B1123" s="6"/>
      <c r="C1123" s="3"/>
    </row>
    <row r="1124" spans="1:3" x14ac:dyDescent="0.3">
      <c r="A1124" s="6"/>
      <c r="B1124" s="6"/>
      <c r="C1124" s="3"/>
    </row>
    <row r="1125" spans="1:3" x14ac:dyDescent="0.3">
      <c r="A1125" s="6"/>
      <c r="B1125" s="6"/>
      <c r="C1125" s="3"/>
    </row>
    <row r="1126" spans="1:3" x14ac:dyDescent="0.3">
      <c r="A1126" s="6"/>
      <c r="B1126" s="6"/>
      <c r="C1126" s="3"/>
    </row>
    <row r="1127" spans="1:3" x14ac:dyDescent="0.3">
      <c r="A1127" s="6"/>
      <c r="B1127" s="6"/>
      <c r="C1127" s="3"/>
    </row>
    <row r="1128" spans="1:3" x14ac:dyDescent="0.3">
      <c r="A1128" s="6"/>
      <c r="B1128" s="6"/>
      <c r="C1128" s="3"/>
    </row>
    <row r="1129" spans="1:3" x14ac:dyDescent="0.3">
      <c r="A1129" s="6"/>
      <c r="B1129" s="6"/>
      <c r="C1129" s="3"/>
    </row>
    <row r="1130" spans="1:3" x14ac:dyDescent="0.3">
      <c r="A1130" s="6"/>
      <c r="B1130" s="6"/>
      <c r="C1130" s="3"/>
    </row>
    <row r="1131" spans="1:3" x14ac:dyDescent="0.3">
      <c r="A1131" s="6"/>
      <c r="B1131" s="6"/>
      <c r="C1131" s="3"/>
    </row>
    <row r="1132" spans="1:3" x14ac:dyDescent="0.3">
      <c r="A1132" s="6"/>
      <c r="B1132" s="6"/>
      <c r="C1132" s="3"/>
    </row>
    <row r="1133" spans="1:3" x14ac:dyDescent="0.3">
      <c r="A1133" s="6"/>
      <c r="B1133" s="6"/>
      <c r="C1133" s="3"/>
    </row>
    <row r="1134" spans="1:3" x14ac:dyDescent="0.3">
      <c r="A1134" s="6"/>
      <c r="B1134" s="6"/>
      <c r="C1134" s="3"/>
    </row>
    <row r="1135" spans="1:3" x14ac:dyDescent="0.3">
      <c r="A1135" s="6"/>
      <c r="B1135" s="6"/>
      <c r="C1135" s="3"/>
    </row>
    <row r="1136" spans="1:3" x14ac:dyDescent="0.3">
      <c r="A1136" s="6"/>
      <c r="B1136" s="6"/>
      <c r="C1136" s="3"/>
    </row>
    <row r="1137" spans="1:3" x14ac:dyDescent="0.3">
      <c r="A1137" s="6"/>
      <c r="B1137" s="6"/>
      <c r="C1137" s="3"/>
    </row>
    <row r="1138" spans="1:3" x14ac:dyDescent="0.3">
      <c r="A1138" s="6"/>
      <c r="B1138" s="6"/>
      <c r="C1138" s="3"/>
    </row>
    <row r="1139" spans="1:3" x14ac:dyDescent="0.3">
      <c r="A1139" s="6"/>
      <c r="B1139" s="6"/>
      <c r="C1139" s="3"/>
    </row>
    <row r="1140" spans="1:3" x14ac:dyDescent="0.3">
      <c r="A1140" s="6"/>
      <c r="B1140" s="6"/>
      <c r="C1140" s="3"/>
    </row>
    <row r="1141" spans="1:3" x14ac:dyDescent="0.3">
      <c r="A1141" s="6"/>
      <c r="B1141" s="6"/>
      <c r="C1141" s="3"/>
    </row>
    <row r="1142" spans="1:3" x14ac:dyDescent="0.3">
      <c r="A1142" s="6"/>
      <c r="B1142" s="6"/>
      <c r="C1142" s="3"/>
    </row>
    <row r="1143" spans="1:3" x14ac:dyDescent="0.3">
      <c r="A1143" s="6"/>
      <c r="B1143" s="6"/>
      <c r="C1143" s="3"/>
    </row>
    <row r="1144" spans="1:3" x14ac:dyDescent="0.3">
      <c r="A1144" s="6"/>
      <c r="B1144" s="6"/>
      <c r="C1144" s="3"/>
    </row>
    <row r="1145" spans="1:3" x14ac:dyDescent="0.3">
      <c r="A1145" s="6"/>
      <c r="B1145" s="6"/>
      <c r="C1145" s="3"/>
    </row>
    <row r="1146" spans="1:3" x14ac:dyDescent="0.3">
      <c r="A1146" s="6"/>
      <c r="B1146" s="6"/>
      <c r="C1146" s="3"/>
    </row>
    <row r="1147" spans="1:3" x14ac:dyDescent="0.3">
      <c r="A1147" s="6"/>
      <c r="B1147" s="6"/>
      <c r="C1147" s="3"/>
    </row>
    <row r="1148" spans="1:3" x14ac:dyDescent="0.3">
      <c r="A1148" s="6"/>
      <c r="B1148" s="6"/>
      <c r="C1148" s="3"/>
    </row>
    <row r="1149" spans="1:3" x14ac:dyDescent="0.3">
      <c r="A1149" s="6"/>
      <c r="B1149" s="6"/>
      <c r="C1149" s="3"/>
    </row>
    <row r="1150" spans="1:3" x14ac:dyDescent="0.3">
      <c r="A1150" s="6"/>
      <c r="B1150" s="6"/>
      <c r="C1150" s="3"/>
    </row>
    <row r="1151" spans="1:3" x14ac:dyDescent="0.3">
      <c r="A1151" s="6"/>
      <c r="B1151" s="6"/>
      <c r="C1151" s="3"/>
    </row>
    <row r="1152" spans="1:3" x14ac:dyDescent="0.3">
      <c r="A1152" s="6"/>
      <c r="B1152" s="6"/>
      <c r="C1152" s="3"/>
    </row>
    <row r="1153" spans="1:3" x14ac:dyDescent="0.3">
      <c r="A1153" s="6"/>
      <c r="B1153" s="6"/>
      <c r="C1153" s="3"/>
    </row>
    <row r="1154" spans="1:3" x14ac:dyDescent="0.3">
      <c r="A1154" s="6"/>
      <c r="B1154" s="6"/>
      <c r="C1154" s="3"/>
    </row>
    <row r="1155" spans="1:3" x14ac:dyDescent="0.3">
      <c r="A1155" s="6"/>
      <c r="B1155" s="6"/>
      <c r="C1155" s="3"/>
    </row>
    <row r="1156" spans="1:3" x14ac:dyDescent="0.3">
      <c r="A1156" s="6"/>
      <c r="B1156" s="6"/>
      <c r="C1156" s="3"/>
    </row>
    <row r="1157" spans="1:3" x14ac:dyDescent="0.3">
      <c r="A1157" s="6"/>
      <c r="B1157" s="6"/>
      <c r="C1157" s="3"/>
    </row>
    <row r="1158" spans="1:3" x14ac:dyDescent="0.3">
      <c r="A1158" s="6"/>
      <c r="B1158" s="6"/>
      <c r="C1158" s="3"/>
    </row>
    <row r="1159" spans="1:3" x14ac:dyDescent="0.3">
      <c r="A1159" s="6"/>
      <c r="B1159" s="6"/>
      <c r="C1159" s="3"/>
    </row>
    <row r="1160" spans="1:3" x14ac:dyDescent="0.3">
      <c r="A1160" s="6"/>
      <c r="B1160" s="6"/>
      <c r="C1160" s="3"/>
    </row>
    <row r="1161" spans="1:3" x14ac:dyDescent="0.3">
      <c r="A1161" s="6"/>
      <c r="B1161" s="6"/>
      <c r="C1161" s="3"/>
    </row>
    <row r="1162" spans="1:3" x14ac:dyDescent="0.3">
      <c r="A1162" s="6"/>
      <c r="B1162" s="6"/>
      <c r="C1162" s="3"/>
    </row>
    <row r="1163" spans="1:3" x14ac:dyDescent="0.3">
      <c r="A1163" s="6"/>
      <c r="B1163" s="6"/>
      <c r="C1163" s="3"/>
    </row>
    <row r="1164" spans="1:3" x14ac:dyDescent="0.3">
      <c r="A1164" s="6"/>
      <c r="B1164" s="6"/>
      <c r="C1164" s="3"/>
    </row>
    <row r="1165" spans="1:3" x14ac:dyDescent="0.3">
      <c r="A1165" s="6"/>
      <c r="B1165" s="6"/>
      <c r="C1165" s="3"/>
    </row>
    <row r="1166" spans="1:3" x14ac:dyDescent="0.3">
      <c r="A1166" s="6"/>
      <c r="B1166" s="6"/>
      <c r="C1166" s="3"/>
    </row>
    <row r="1167" spans="1:3" x14ac:dyDescent="0.3">
      <c r="A1167" s="6"/>
      <c r="B1167" s="6"/>
      <c r="C1167" s="3"/>
    </row>
    <row r="1168" spans="1:3" x14ac:dyDescent="0.3">
      <c r="A1168" s="6"/>
      <c r="B1168" s="6"/>
      <c r="C1168" s="3"/>
    </row>
    <row r="1169" spans="1:3" x14ac:dyDescent="0.3">
      <c r="A1169" s="6"/>
      <c r="B1169" s="6"/>
      <c r="C1169" s="3"/>
    </row>
    <row r="1170" spans="1:3" x14ac:dyDescent="0.3">
      <c r="A1170" s="6"/>
      <c r="B1170" s="6"/>
      <c r="C1170" s="3"/>
    </row>
    <row r="1171" spans="1:3" x14ac:dyDescent="0.3">
      <c r="A1171" s="6"/>
      <c r="B1171" s="6"/>
      <c r="C1171" s="3"/>
    </row>
    <row r="1172" spans="1:3" x14ac:dyDescent="0.3">
      <c r="A1172" s="6"/>
      <c r="B1172" s="6"/>
      <c r="C1172" s="3"/>
    </row>
    <row r="1173" spans="1:3" x14ac:dyDescent="0.3">
      <c r="A1173" s="6"/>
      <c r="B1173" s="6"/>
      <c r="C1173" s="3"/>
    </row>
    <row r="1174" spans="1:3" x14ac:dyDescent="0.3">
      <c r="A1174" s="6"/>
      <c r="B1174" s="6"/>
      <c r="C1174" s="3"/>
    </row>
    <row r="1175" spans="1:3" x14ac:dyDescent="0.3">
      <c r="A1175" s="6"/>
      <c r="B1175" s="6"/>
      <c r="C1175" s="3"/>
    </row>
    <row r="1176" spans="1:3" x14ac:dyDescent="0.3">
      <c r="A1176" s="6"/>
      <c r="B1176" s="6"/>
      <c r="C1176" s="3"/>
    </row>
    <row r="1177" spans="1:3" x14ac:dyDescent="0.3">
      <c r="A1177" s="6"/>
      <c r="B1177" s="6"/>
      <c r="C1177" s="3"/>
    </row>
    <row r="1178" spans="1:3" x14ac:dyDescent="0.3">
      <c r="A1178" s="6"/>
      <c r="B1178" s="6"/>
      <c r="C1178" s="3"/>
    </row>
    <row r="1179" spans="1:3" x14ac:dyDescent="0.3">
      <c r="A1179" s="6"/>
      <c r="B1179" s="6"/>
      <c r="C1179" s="3"/>
    </row>
    <row r="1180" spans="1:3" x14ac:dyDescent="0.3">
      <c r="A1180" s="6"/>
      <c r="B1180" s="6"/>
      <c r="C1180" s="3"/>
    </row>
    <row r="1181" spans="1:3" x14ac:dyDescent="0.3">
      <c r="A1181" s="6"/>
      <c r="B1181" s="6"/>
      <c r="C1181" s="3"/>
    </row>
    <row r="1182" spans="1:3" x14ac:dyDescent="0.3">
      <c r="A1182" s="6"/>
      <c r="B1182" s="6"/>
      <c r="C1182" s="3"/>
    </row>
    <row r="1183" spans="1:3" x14ac:dyDescent="0.3">
      <c r="A1183" s="6"/>
      <c r="B1183" s="6"/>
      <c r="C1183" s="3"/>
    </row>
    <row r="1184" spans="1:3" x14ac:dyDescent="0.3">
      <c r="A1184" s="6"/>
      <c r="B1184" s="6"/>
      <c r="C1184" s="3"/>
    </row>
    <row r="1185" spans="1:3" x14ac:dyDescent="0.3">
      <c r="A1185" s="6"/>
      <c r="B1185" s="6"/>
      <c r="C1185" s="3"/>
    </row>
    <row r="1186" spans="1:3" x14ac:dyDescent="0.3">
      <c r="A1186" s="6"/>
      <c r="B1186" s="6"/>
      <c r="C1186" s="3"/>
    </row>
    <row r="1187" spans="1:3" x14ac:dyDescent="0.3">
      <c r="A1187" s="6"/>
      <c r="B1187" s="6"/>
      <c r="C1187" s="3"/>
    </row>
    <row r="1188" spans="1:3" x14ac:dyDescent="0.3">
      <c r="A1188" s="6"/>
      <c r="B1188" s="6"/>
      <c r="C1188" s="3"/>
    </row>
    <row r="1189" spans="1:3" x14ac:dyDescent="0.3">
      <c r="A1189" s="6"/>
      <c r="B1189" s="6"/>
      <c r="C1189" s="3"/>
    </row>
    <row r="1190" spans="1:3" x14ac:dyDescent="0.3">
      <c r="A1190" s="6"/>
      <c r="B1190" s="6"/>
      <c r="C1190" s="3"/>
    </row>
    <row r="1191" spans="1:3" x14ac:dyDescent="0.3">
      <c r="A1191" s="6"/>
      <c r="B1191" s="6"/>
      <c r="C1191" s="3"/>
    </row>
    <row r="1192" spans="1:3" x14ac:dyDescent="0.3">
      <c r="A1192" s="6"/>
      <c r="B1192" s="6"/>
      <c r="C1192" s="3"/>
    </row>
    <row r="1193" spans="1:3" x14ac:dyDescent="0.3">
      <c r="A1193" s="6"/>
      <c r="B1193" s="6"/>
      <c r="C1193" s="3"/>
    </row>
    <row r="1194" spans="1:3" x14ac:dyDescent="0.3">
      <c r="A1194" s="6"/>
      <c r="B1194" s="6"/>
      <c r="C1194" s="3"/>
    </row>
    <row r="1195" spans="1:3" x14ac:dyDescent="0.3">
      <c r="A1195" s="6"/>
      <c r="B1195" s="6"/>
      <c r="C1195" s="3"/>
    </row>
    <row r="1196" spans="1:3" x14ac:dyDescent="0.3">
      <c r="A1196" s="6"/>
      <c r="B1196" s="6"/>
      <c r="C1196" s="3"/>
    </row>
    <row r="1197" spans="1:3" x14ac:dyDescent="0.3">
      <c r="A1197" s="6"/>
      <c r="B1197" s="6"/>
      <c r="C1197" s="3"/>
    </row>
    <row r="1198" spans="1:3" x14ac:dyDescent="0.3">
      <c r="A1198" s="6"/>
      <c r="B1198" s="6"/>
      <c r="C1198" s="3"/>
    </row>
    <row r="1199" spans="1:3" x14ac:dyDescent="0.3">
      <c r="A1199" s="6"/>
      <c r="B1199" s="6"/>
      <c r="C1199" s="3"/>
    </row>
    <row r="1200" spans="1:3" x14ac:dyDescent="0.3">
      <c r="A1200" s="6"/>
      <c r="B1200" s="6"/>
      <c r="C1200" s="3"/>
    </row>
    <row r="1201" spans="1:3" x14ac:dyDescent="0.3">
      <c r="A1201" s="6"/>
      <c r="B1201" s="6"/>
      <c r="C1201" s="3"/>
    </row>
    <row r="1202" spans="1:3" x14ac:dyDescent="0.3">
      <c r="A1202" s="6"/>
      <c r="B1202" s="6"/>
      <c r="C1202" s="3"/>
    </row>
    <row r="1203" spans="1:3" x14ac:dyDescent="0.3">
      <c r="A1203" s="6"/>
      <c r="B1203" s="6"/>
      <c r="C1203" s="3"/>
    </row>
    <row r="1204" spans="1:3" x14ac:dyDescent="0.3">
      <c r="A1204" s="6"/>
      <c r="B1204" s="6"/>
      <c r="C1204" s="3"/>
    </row>
    <row r="1205" spans="1:3" x14ac:dyDescent="0.3">
      <c r="A1205" s="6"/>
      <c r="B1205" s="6"/>
      <c r="C1205" s="3"/>
    </row>
    <row r="1206" spans="1:3" x14ac:dyDescent="0.3">
      <c r="A1206" s="6"/>
      <c r="B1206" s="6"/>
      <c r="C1206" s="3"/>
    </row>
    <row r="1207" spans="1:3" x14ac:dyDescent="0.3">
      <c r="A1207" s="6"/>
      <c r="B1207" s="6"/>
      <c r="C1207" s="3"/>
    </row>
    <row r="1208" spans="1:3" x14ac:dyDescent="0.3">
      <c r="A1208" s="6"/>
      <c r="B1208" s="6"/>
      <c r="C1208" s="3"/>
    </row>
    <row r="1209" spans="1:3" x14ac:dyDescent="0.3">
      <c r="A1209" s="6"/>
      <c r="B1209" s="6"/>
      <c r="C1209" s="3"/>
    </row>
    <row r="1210" spans="1:3" x14ac:dyDescent="0.3">
      <c r="A1210" s="6"/>
      <c r="B1210" s="6"/>
      <c r="C1210" s="3"/>
    </row>
    <row r="1211" spans="1:3" x14ac:dyDescent="0.3">
      <c r="A1211" s="6"/>
      <c r="B1211" s="6"/>
      <c r="C1211" s="3"/>
    </row>
    <row r="1212" spans="1:3" x14ac:dyDescent="0.3">
      <c r="A1212" s="6"/>
      <c r="B1212" s="6"/>
      <c r="C1212" s="3"/>
    </row>
    <row r="1213" spans="1:3" x14ac:dyDescent="0.3">
      <c r="A1213" s="6"/>
      <c r="B1213" s="6"/>
      <c r="C1213" s="3"/>
    </row>
    <row r="1214" spans="1:3" x14ac:dyDescent="0.3">
      <c r="A1214" s="6"/>
      <c r="B1214" s="6"/>
      <c r="C1214" s="3"/>
    </row>
    <row r="1215" spans="1:3" x14ac:dyDescent="0.3">
      <c r="A1215" s="6"/>
      <c r="B1215" s="6"/>
      <c r="C1215" s="3"/>
    </row>
    <row r="1216" spans="1:3" x14ac:dyDescent="0.3">
      <c r="A1216" s="6"/>
      <c r="B1216" s="6"/>
      <c r="C1216" s="3"/>
    </row>
    <row r="1217" spans="1:3" x14ac:dyDescent="0.3">
      <c r="A1217" s="6"/>
      <c r="B1217" s="6"/>
      <c r="C1217" s="3"/>
    </row>
    <row r="1218" spans="1:3" x14ac:dyDescent="0.3">
      <c r="A1218" s="6"/>
      <c r="B1218" s="6"/>
      <c r="C1218" s="3"/>
    </row>
    <row r="1219" spans="1:3" x14ac:dyDescent="0.3">
      <c r="A1219" s="6"/>
      <c r="B1219" s="6"/>
      <c r="C1219" s="3"/>
    </row>
    <row r="1220" spans="1:3" x14ac:dyDescent="0.3">
      <c r="A1220" s="6"/>
      <c r="B1220" s="6"/>
      <c r="C1220" s="3"/>
    </row>
    <row r="1221" spans="1:3" x14ac:dyDescent="0.3">
      <c r="A1221" s="6"/>
      <c r="B1221" s="6"/>
      <c r="C1221" s="3"/>
    </row>
    <row r="1222" spans="1:3" x14ac:dyDescent="0.3">
      <c r="A1222" s="6"/>
      <c r="B1222" s="6"/>
      <c r="C1222" s="3"/>
    </row>
    <row r="1223" spans="1:3" x14ac:dyDescent="0.3">
      <c r="A1223" s="6"/>
      <c r="B1223" s="6"/>
      <c r="C1223" s="3"/>
    </row>
    <row r="1224" spans="1:3" x14ac:dyDescent="0.3">
      <c r="A1224" s="6"/>
      <c r="B1224" s="6"/>
      <c r="C1224" s="3"/>
    </row>
    <row r="1225" spans="1:3" x14ac:dyDescent="0.3">
      <c r="A1225" s="6"/>
      <c r="B1225" s="6"/>
      <c r="C1225" s="3"/>
    </row>
    <row r="1226" spans="1:3" x14ac:dyDescent="0.3">
      <c r="A1226" s="6"/>
      <c r="B1226" s="6"/>
      <c r="C1226" s="3"/>
    </row>
    <row r="1227" spans="1:3" x14ac:dyDescent="0.3">
      <c r="A1227" s="6"/>
      <c r="B1227" s="6"/>
      <c r="C1227" s="3"/>
    </row>
    <row r="1228" spans="1:3" x14ac:dyDescent="0.3">
      <c r="A1228" s="6"/>
      <c r="B1228" s="6"/>
      <c r="C1228" s="3"/>
    </row>
    <row r="1229" spans="1:3" x14ac:dyDescent="0.3">
      <c r="A1229" s="6"/>
      <c r="B1229" s="6"/>
      <c r="C1229" s="3"/>
    </row>
    <row r="1230" spans="1:3" x14ac:dyDescent="0.3">
      <c r="A1230" s="6"/>
      <c r="B1230" s="6"/>
      <c r="C1230" s="3"/>
    </row>
    <row r="1231" spans="1:3" x14ac:dyDescent="0.3">
      <c r="A1231" s="6"/>
      <c r="B1231" s="6"/>
      <c r="C1231" s="3"/>
    </row>
    <row r="1232" spans="1:3" x14ac:dyDescent="0.3">
      <c r="A1232" s="6"/>
      <c r="B1232" s="6"/>
      <c r="C1232" s="3"/>
    </row>
    <row r="1233" spans="1:3" x14ac:dyDescent="0.3">
      <c r="A1233" s="6"/>
      <c r="B1233" s="6"/>
      <c r="C1233" s="3"/>
    </row>
    <row r="1234" spans="1:3" x14ac:dyDescent="0.3">
      <c r="A1234" s="6"/>
      <c r="B1234" s="6"/>
      <c r="C1234" s="3"/>
    </row>
    <row r="1235" spans="1:3" x14ac:dyDescent="0.3">
      <c r="A1235" s="6"/>
      <c r="B1235" s="6"/>
      <c r="C1235" s="3"/>
    </row>
    <row r="1236" spans="1:3" x14ac:dyDescent="0.3">
      <c r="A1236" s="6"/>
      <c r="B1236" s="6"/>
      <c r="C1236" s="3"/>
    </row>
    <row r="1237" spans="1:3" x14ac:dyDescent="0.3">
      <c r="A1237" s="6"/>
      <c r="B1237" s="6"/>
      <c r="C1237" s="3"/>
    </row>
    <row r="1238" spans="1:3" x14ac:dyDescent="0.3">
      <c r="A1238" s="6"/>
      <c r="B1238" s="6"/>
      <c r="C1238" s="3"/>
    </row>
    <row r="1239" spans="1:3" x14ac:dyDescent="0.3">
      <c r="A1239" s="6"/>
      <c r="B1239" s="6"/>
      <c r="C1239" s="3"/>
    </row>
    <row r="1240" spans="1:3" x14ac:dyDescent="0.3">
      <c r="A1240" s="6"/>
      <c r="B1240" s="6"/>
      <c r="C1240" s="3"/>
    </row>
    <row r="1241" spans="1:3" x14ac:dyDescent="0.3">
      <c r="A1241" s="6"/>
      <c r="B1241" s="6"/>
      <c r="C1241" s="3"/>
    </row>
    <row r="1242" spans="1:3" x14ac:dyDescent="0.3">
      <c r="A1242" s="6"/>
      <c r="B1242" s="6"/>
      <c r="C1242" s="3"/>
    </row>
    <row r="1243" spans="1:3" x14ac:dyDescent="0.3">
      <c r="A1243" s="6"/>
      <c r="B1243" s="6"/>
      <c r="C1243" s="3"/>
    </row>
    <row r="1244" spans="1:3" x14ac:dyDescent="0.3">
      <c r="A1244" s="6"/>
      <c r="B1244" s="6"/>
      <c r="C1244" s="3"/>
    </row>
    <row r="1245" spans="1:3" x14ac:dyDescent="0.3">
      <c r="A1245" s="6"/>
      <c r="B1245" s="6"/>
      <c r="C1245" s="3"/>
    </row>
    <row r="1246" spans="1:3" x14ac:dyDescent="0.3">
      <c r="A1246" s="6"/>
      <c r="B1246" s="6"/>
      <c r="C1246" s="3"/>
    </row>
    <row r="1247" spans="1:3" x14ac:dyDescent="0.3">
      <c r="A1247" s="6"/>
      <c r="B1247" s="6"/>
      <c r="C1247" s="3"/>
    </row>
    <row r="1248" spans="1:3" x14ac:dyDescent="0.3">
      <c r="A1248" s="6"/>
      <c r="B1248" s="6"/>
      <c r="C1248" s="3"/>
    </row>
    <row r="1249" spans="1:3" x14ac:dyDescent="0.3">
      <c r="A1249" s="6"/>
      <c r="B1249" s="6"/>
      <c r="C1249" s="3"/>
    </row>
    <row r="1250" spans="1:3" x14ac:dyDescent="0.3">
      <c r="A1250" s="6"/>
      <c r="B1250" s="6"/>
      <c r="C1250" s="3"/>
    </row>
    <row r="1251" spans="1:3" x14ac:dyDescent="0.3">
      <c r="A1251" s="6"/>
      <c r="B1251" s="6"/>
      <c r="C1251" s="3"/>
    </row>
    <row r="1252" spans="1:3" x14ac:dyDescent="0.3">
      <c r="A1252" s="6"/>
      <c r="B1252" s="6"/>
      <c r="C1252" s="3"/>
    </row>
    <row r="1253" spans="1:3" x14ac:dyDescent="0.3">
      <c r="A1253" s="6"/>
      <c r="B1253" s="6"/>
      <c r="C1253" s="3"/>
    </row>
    <row r="1254" spans="1:3" x14ac:dyDescent="0.3">
      <c r="A1254" s="6"/>
      <c r="B1254" s="6"/>
      <c r="C1254" s="3"/>
    </row>
    <row r="1255" spans="1:3" x14ac:dyDescent="0.3">
      <c r="A1255" s="6"/>
      <c r="B1255" s="6"/>
      <c r="C1255" s="3"/>
    </row>
    <row r="1256" spans="1:3" x14ac:dyDescent="0.3">
      <c r="A1256" s="6"/>
      <c r="B1256" s="6"/>
      <c r="C1256" s="3"/>
    </row>
    <row r="1257" spans="1:3" x14ac:dyDescent="0.3">
      <c r="A1257" s="6"/>
      <c r="B1257" s="6"/>
      <c r="C1257" s="3"/>
    </row>
    <row r="1258" spans="1:3" x14ac:dyDescent="0.3">
      <c r="A1258" s="6"/>
      <c r="B1258" s="6"/>
      <c r="C1258" s="3"/>
    </row>
    <row r="1259" spans="1:3" x14ac:dyDescent="0.3">
      <c r="A1259" s="6"/>
      <c r="B1259" s="6"/>
      <c r="C1259" s="3"/>
    </row>
    <row r="1260" spans="1:3" x14ac:dyDescent="0.3">
      <c r="A1260" s="6"/>
      <c r="B1260" s="6"/>
      <c r="C1260" s="3"/>
    </row>
    <row r="1261" spans="1:3" x14ac:dyDescent="0.3">
      <c r="A1261" s="6"/>
      <c r="B1261" s="6"/>
      <c r="C1261" s="3"/>
    </row>
    <row r="1262" spans="1:3" x14ac:dyDescent="0.3">
      <c r="A1262" s="6"/>
      <c r="B1262" s="6"/>
      <c r="C1262" s="3"/>
    </row>
    <row r="1263" spans="1:3" x14ac:dyDescent="0.3">
      <c r="A1263" s="6"/>
      <c r="B1263" s="6"/>
      <c r="C1263" s="3"/>
    </row>
    <row r="1264" spans="1:3" x14ac:dyDescent="0.3">
      <c r="A1264" s="6"/>
      <c r="B1264" s="6"/>
      <c r="C1264" s="3"/>
    </row>
    <row r="1265" spans="1:3" x14ac:dyDescent="0.3">
      <c r="A1265" s="6"/>
      <c r="B1265" s="6"/>
      <c r="C1265" s="3"/>
    </row>
    <row r="1266" spans="1:3" x14ac:dyDescent="0.3">
      <c r="A1266" s="6"/>
      <c r="B1266" s="6"/>
      <c r="C1266" s="3"/>
    </row>
    <row r="1267" spans="1:3" x14ac:dyDescent="0.3">
      <c r="A1267" s="6"/>
      <c r="B1267" s="6"/>
      <c r="C1267" s="3"/>
    </row>
    <row r="1268" spans="1:3" x14ac:dyDescent="0.3">
      <c r="A1268" s="6"/>
      <c r="B1268" s="6"/>
      <c r="C1268" s="3"/>
    </row>
    <row r="1269" spans="1:3" x14ac:dyDescent="0.3">
      <c r="A1269" s="6"/>
      <c r="B1269" s="6"/>
      <c r="C1269" s="3"/>
    </row>
    <row r="1270" spans="1:3" x14ac:dyDescent="0.3">
      <c r="A1270" s="6"/>
      <c r="B1270" s="6"/>
      <c r="C1270" s="3"/>
    </row>
    <row r="1271" spans="1:3" x14ac:dyDescent="0.3">
      <c r="A1271" s="6"/>
      <c r="B1271" s="6"/>
      <c r="C1271" s="3"/>
    </row>
    <row r="1272" spans="1:3" x14ac:dyDescent="0.3">
      <c r="A1272" s="6"/>
      <c r="B1272" s="6"/>
      <c r="C1272" s="3"/>
    </row>
    <row r="1273" spans="1:3" x14ac:dyDescent="0.3">
      <c r="A1273" s="6"/>
      <c r="B1273" s="6"/>
      <c r="C1273" s="3"/>
    </row>
    <row r="1274" spans="1:3" x14ac:dyDescent="0.3">
      <c r="A1274" s="6"/>
      <c r="B1274" s="6"/>
      <c r="C1274" s="3"/>
    </row>
    <row r="1275" spans="1:3" x14ac:dyDescent="0.3">
      <c r="A1275" s="6"/>
      <c r="B1275" s="6"/>
      <c r="C1275" s="3"/>
    </row>
    <row r="1276" spans="1:3" x14ac:dyDescent="0.3">
      <c r="A1276" s="6"/>
      <c r="B1276" s="6"/>
      <c r="C1276" s="3"/>
    </row>
    <row r="1277" spans="1:3" x14ac:dyDescent="0.3">
      <c r="A1277" s="6"/>
      <c r="B1277" s="6"/>
      <c r="C1277" s="3"/>
    </row>
    <row r="1278" spans="1:3" x14ac:dyDescent="0.3">
      <c r="A1278" s="6"/>
      <c r="B1278" s="6"/>
      <c r="C1278" s="3"/>
    </row>
    <row r="1279" spans="1:3" x14ac:dyDescent="0.3">
      <c r="A1279" s="6"/>
      <c r="B1279" s="6"/>
      <c r="C1279" s="3"/>
    </row>
    <row r="1280" spans="1:3" x14ac:dyDescent="0.3">
      <c r="A1280" s="6"/>
      <c r="B1280" s="6"/>
      <c r="C1280" s="3"/>
    </row>
    <row r="1281" spans="1:3" x14ac:dyDescent="0.3">
      <c r="A1281" s="6"/>
      <c r="B1281" s="6"/>
      <c r="C1281" s="3"/>
    </row>
    <row r="1282" spans="1:3" x14ac:dyDescent="0.3">
      <c r="A1282" s="6"/>
      <c r="B1282" s="6"/>
      <c r="C1282" s="3"/>
    </row>
    <row r="1283" spans="1:3" x14ac:dyDescent="0.3">
      <c r="A1283" s="6"/>
      <c r="B1283" s="6"/>
      <c r="C1283" s="3"/>
    </row>
    <row r="1284" spans="1:3" x14ac:dyDescent="0.3">
      <c r="A1284" s="6"/>
      <c r="B1284" s="6"/>
      <c r="C1284" s="3"/>
    </row>
    <row r="1285" spans="1:3" x14ac:dyDescent="0.3">
      <c r="A1285" s="6"/>
      <c r="B1285" s="6"/>
      <c r="C1285" s="3"/>
    </row>
    <row r="1286" spans="1:3" x14ac:dyDescent="0.3">
      <c r="A1286" s="6"/>
      <c r="B1286" s="6"/>
      <c r="C1286" s="3"/>
    </row>
    <row r="1287" spans="1:3" x14ac:dyDescent="0.3">
      <c r="A1287" s="6"/>
      <c r="B1287" s="6"/>
      <c r="C1287" s="3"/>
    </row>
    <row r="1288" spans="1:3" x14ac:dyDescent="0.3">
      <c r="A1288" s="6"/>
      <c r="B1288" s="6"/>
      <c r="C1288" s="3"/>
    </row>
    <row r="1289" spans="1:3" x14ac:dyDescent="0.3">
      <c r="A1289" s="6"/>
      <c r="B1289" s="6"/>
      <c r="C1289" s="3"/>
    </row>
    <row r="1290" spans="1:3" x14ac:dyDescent="0.3">
      <c r="A1290" s="6"/>
      <c r="B1290" s="6"/>
      <c r="C1290" s="3"/>
    </row>
    <row r="1291" spans="1:3" x14ac:dyDescent="0.3">
      <c r="A1291" s="6"/>
      <c r="B1291" s="6"/>
      <c r="C1291" s="3"/>
    </row>
    <row r="1292" spans="1:3" x14ac:dyDescent="0.3">
      <c r="A1292" s="6"/>
      <c r="B1292" s="6"/>
      <c r="C1292" s="3"/>
    </row>
    <row r="1293" spans="1:3" x14ac:dyDescent="0.3">
      <c r="A1293" s="6"/>
      <c r="B1293" s="6"/>
      <c r="C1293" s="3"/>
    </row>
    <row r="1294" spans="1:3" x14ac:dyDescent="0.3">
      <c r="A1294" s="6"/>
      <c r="B1294" s="6"/>
      <c r="C1294" s="3"/>
    </row>
    <row r="1295" spans="1:3" x14ac:dyDescent="0.3">
      <c r="A1295" s="6"/>
      <c r="B1295" s="6"/>
      <c r="C1295" s="3"/>
    </row>
    <row r="1296" spans="1:3" x14ac:dyDescent="0.3">
      <c r="A1296" s="6"/>
      <c r="B1296" s="6"/>
      <c r="C1296" s="3"/>
    </row>
    <row r="1297" spans="1:3" x14ac:dyDescent="0.3">
      <c r="A1297" s="6"/>
      <c r="B1297" s="6"/>
      <c r="C1297" s="3"/>
    </row>
    <row r="1298" spans="1:3" x14ac:dyDescent="0.3">
      <c r="A1298" s="6"/>
      <c r="B1298" s="6"/>
      <c r="C1298" s="3"/>
    </row>
    <row r="1299" spans="1:3" x14ac:dyDescent="0.3">
      <c r="A1299" s="6"/>
      <c r="B1299" s="6"/>
      <c r="C1299" s="3"/>
    </row>
    <row r="1300" spans="1:3" x14ac:dyDescent="0.3">
      <c r="A1300" s="6"/>
      <c r="B1300" s="6"/>
      <c r="C1300" s="3"/>
    </row>
    <row r="1301" spans="1:3" x14ac:dyDescent="0.3">
      <c r="A1301" s="6"/>
      <c r="B1301" s="6"/>
      <c r="C1301" s="3"/>
    </row>
    <row r="1302" spans="1:3" x14ac:dyDescent="0.3">
      <c r="A1302" s="6"/>
      <c r="B1302" s="6"/>
      <c r="C1302" s="3"/>
    </row>
    <row r="1303" spans="1:3" x14ac:dyDescent="0.3">
      <c r="A1303" s="6"/>
      <c r="B1303" s="6"/>
      <c r="C1303" s="3"/>
    </row>
    <row r="1304" spans="1:3" x14ac:dyDescent="0.3">
      <c r="A1304" s="6"/>
      <c r="B1304" s="6"/>
      <c r="C1304" s="3"/>
    </row>
    <row r="1305" spans="1:3" x14ac:dyDescent="0.3">
      <c r="A1305" s="6"/>
      <c r="B1305" s="6"/>
      <c r="C1305" s="3"/>
    </row>
    <row r="1306" spans="1:3" x14ac:dyDescent="0.3">
      <c r="A1306" s="6"/>
      <c r="B1306" s="6"/>
      <c r="C1306" s="3"/>
    </row>
    <row r="1307" spans="1:3" x14ac:dyDescent="0.3">
      <c r="A1307" s="6"/>
      <c r="B1307" s="6"/>
      <c r="C1307" s="3"/>
    </row>
    <row r="1308" spans="1:3" x14ac:dyDescent="0.3">
      <c r="A1308" s="6"/>
      <c r="B1308" s="6"/>
      <c r="C1308" s="3"/>
    </row>
    <row r="1309" spans="1:3" x14ac:dyDescent="0.3">
      <c r="A1309" s="6"/>
      <c r="B1309" s="6"/>
      <c r="C1309" s="3"/>
    </row>
    <row r="1310" spans="1:3" x14ac:dyDescent="0.3">
      <c r="A1310" s="6"/>
      <c r="B1310" s="6"/>
      <c r="C1310" s="3"/>
    </row>
    <row r="1311" spans="1:3" x14ac:dyDescent="0.3">
      <c r="A1311" s="6"/>
      <c r="B1311" s="6"/>
      <c r="C1311" s="3"/>
    </row>
    <row r="1312" spans="1:3" x14ac:dyDescent="0.3">
      <c r="A1312" s="6"/>
      <c r="B1312" s="6"/>
      <c r="C1312" s="3"/>
    </row>
    <row r="1313" spans="1:3" x14ac:dyDescent="0.3">
      <c r="A1313" s="6"/>
      <c r="B1313" s="6"/>
      <c r="C1313" s="3"/>
    </row>
    <row r="1314" spans="1:3" x14ac:dyDescent="0.3">
      <c r="A1314" s="6"/>
      <c r="B1314" s="6"/>
      <c r="C1314" s="3"/>
    </row>
    <row r="1315" spans="1:3" x14ac:dyDescent="0.3">
      <c r="A1315" s="6"/>
      <c r="B1315" s="6"/>
      <c r="C1315" s="3"/>
    </row>
    <row r="1316" spans="1:3" x14ac:dyDescent="0.3">
      <c r="A1316" s="6"/>
      <c r="B1316" s="6"/>
      <c r="C1316" s="3"/>
    </row>
    <row r="1317" spans="1:3" x14ac:dyDescent="0.3">
      <c r="A1317" s="6"/>
      <c r="B1317" s="6"/>
      <c r="C1317" s="3"/>
    </row>
    <row r="1318" spans="1:3" x14ac:dyDescent="0.3">
      <c r="A1318" s="6"/>
      <c r="B1318" s="6"/>
      <c r="C1318" s="3"/>
    </row>
    <row r="1319" spans="1:3" x14ac:dyDescent="0.3">
      <c r="A1319" s="6"/>
      <c r="B1319" s="6"/>
      <c r="C1319" s="3"/>
    </row>
    <row r="1320" spans="1:3" x14ac:dyDescent="0.3">
      <c r="A1320" s="6"/>
      <c r="B1320" s="6"/>
      <c r="C1320" s="3"/>
    </row>
    <row r="1321" spans="1:3" x14ac:dyDescent="0.3">
      <c r="A1321" s="6"/>
      <c r="B1321" s="6"/>
      <c r="C1321" s="3"/>
    </row>
    <row r="1322" spans="1:3" x14ac:dyDescent="0.3">
      <c r="A1322" s="6"/>
      <c r="B1322" s="6"/>
      <c r="C1322" s="3"/>
    </row>
    <row r="1323" spans="1:3" x14ac:dyDescent="0.3">
      <c r="A1323" s="6"/>
      <c r="B1323" s="6"/>
      <c r="C1323" s="3"/>
    </row>
    <row r="1324" spans="1:3" x14ac:dyDescent="0.3">
      <c r="A1324" s="6"/>
      <c r="B1324" s="6"/>
      <c r="C1324" s="3"/>
    </row>
    <row r="1325" spans="1:3" x14ac:dyDescent="0.3">
      <c r="A1325" s="6"/>
      <c r="B1325" s="6"/>
      <c r="C1325" s="3"/>
    </row>
    <row r="1326" spans="1:3" x14ac:dyDescent="0.3">
      <c r="A1326" s="6"/>
      <c r="B1326" s="6"/>
      <c r="C1326" s="3"/>
    </row>
    <row r="1327" spans="1:3" x14ac:dyDescent="0.3">
      <c r="A1327" s="6"/>
      <c r="B1327" s="6"/>
      <c r="C1327" s="3"/>
    </row>
    <row r="1328" spans="1:3" x14ac:dyDescent="0.3">
      <c r="A1328" s="6"/>
      <c r="B1328" s="6"/>
      <c r="C1328" s="3"/>
    </row>
    <row r="1329" spans="1:3" x14ac:dyDescent="0.3">
      <c r="A1329" s="6"/>
      <c r="B1329" s="6"/>
      <c r="C1329" s="3"/>
    </row>
    <row r="1330" spans="1:3" x14ac:dyDescent="0.3">
      <c r="A1330" s="6"/>
      <c r="B1330" s="6"/>
      <c r="C1330" s="3"/>
    </row>
    <row r="1331" spans="1:3" x14ac:dyDescent="0.3">
      <c r="A1331" s="6"/>
      <c r="B1331" s="6"/>
      <c r="C1331" s="3"/>
    </row>
    <row r="1332" spans="1:3" x14ac:dyDescent="0.3">
      <c r="A1332" s="6"/>
      <c r="B1332" s="6"/>
      <c r="C1332" s="3"/>
    </row>
    <row r="1333" spans="1:3" x14ac:dyDescent="0.3">
      <c r="A1333" s="6"/>
      <c r="B1333" s="6"/>
      <c r="C1333" s="3"/>
    </row>
    <row r="1334" spans="1:3" x14ac:dyDescent="0.3">
      <c r="A1334" s="6"/>
      <c r="B1334" s="6"/>
      <c r="C1334" s="3"/>
    </row>
    <row r="1335" spans="1:3" x14ac:dyDescent="0.3">
      <c r="A1335" s="6"/>
      <c r="B1335" s="6"/>
      <c r="C1335" s="3"/>
    </row>
    <row r="1336" spans="1:3" x14ac:dyDescent="0.3">
      <c r="A1336" s="6"/>
      <c r="B1336" s="6"/>
      <c r="C1336" s="3"/>
    </row>
    <row r="1337" spans="1:3" x14ac:dyDescent="0.3">
      <c r="A1337" s="6"/>
      <c r="B1337" s="6"/>
      <c r="C1337" s="3"/>
    </row>
    <row r="1338" spans="1:3" x14ac:dyDescent="0.3">
      <c r="A1338" s="6"/>
      <c r="B1338" s="6"/>
      <c r="C1338" s="3"/>
    </row>
    <row r="1339" spans="1:3" x14ac:dyDescent="0.3">
      <c r="A1339" s="6"/>
      <c r="B1339" s="6"/>
      <c r="C1339" s="3"/>
    </row>
    <row r="1340" spans="1:3" x14ac:dyDescent="0.3">
      <c r="A1340" s="6"/>
      <c r="B1340" s="6"/>
      <c r="C1340" s="3"/>
    </row>
    <row r="1341" spans="1:3" x14ac:dyDescent="0.3">
      <c r="A1341" s="6"/>
      <c r="B1341" s="6"/>
      <c r="C1341" s="3"/>
    </row>
    <row r="1342" spans="1:3" x14ac:dyDescent="0.3">
      <c r="A1342" s="6"/>
      <c r="B1342" s="6"/>
      <c r="C1342" s="3"/>
    </row>
    <row r="1343" spans="1:3" x14ac:dyDescent="0.3">
      <c r="A1343" s="6"/>
      <c r="B1343" s="6"/>
      <c r="C1343" s="3"/>
    </row>
    <row r="1344" spans="1:3" x14ac:dyDescent="0.3">
      <c r="A1344" s="6"/>
      <c r="B1344" s="6"/>
      <c r="C1344" s="3"/>
    </row>
    <row r="1345" spans="1:3" x14ac:dyDescent="0.3">
      <c r="A1345" s="6"/>
      <c r="B1345" s="6"/>
      <c r="C1345" s="3"/>
    </row>
    <row r="1346" spans="1:3" x14ac:dyDescent="0.3">
      <c r="A1346" s="6"/>
      <c r="B1346" s="6"/>
      <c r="C1346" s="3"/>
    </row>
    <row r="1347" spans="1:3" x14ac:dyDescent="0.3">
      <c r="A1347" s="6"/>
      <c r="B1347" s="6"/>
      <c r="C1347" s="3"/>
    </row>
    <row r="1348" spans="1:3" x14ac:dyDescent="0.3">
      <c r="A1348" s="6"/>
      <c r="B1348" s="6"/>
      <c r="C1348" s="3"/>
    </row>
    <row r="1349" spans="1:3" x14ac:dyDescent="0.3">
      <c r="A1349" s="6"/>
      <c r="B1349" s="6"/>
      <c r="C1349" s="3"/>
    </row>
    <row r="1350" spans="1:3" x14ac:dyDescent="0.3">
      <c r="A1350" s="6"/>
      <c r="B1350" s="6"/>
      <c r="C1350" s="3"/>
    </row>
    <row r="1351" spans="1:3" x14ac:dyDescent="0.3">
      <c r="A1351" s="6"/>
      <c r="B1351" s="6"/>
      <c r="C1351" s="3"/>
    </row>
    <row r="1352" spans="1:3" x14ac:dyDescent="0.3">
      <c r="A1352" s="6"/>
      <c r="B1352" s="6"/>
      <c r="C1352" s="3"/>
    </row>
    <row r="1353" spans="1:3" x14ac:dyDescent="0.3">
      <c r="A1353" s="6"/>
      <c r="B1353" s="6"/>
      <c r="C1353" s="3"/>
    </row>
    <row r="1354" spans="1:3" x14ac:dyDescent="0.3">
      <c r="A1354" s="6"/>
      <c r="B1354" s="6"/>
      <c r="C1354" s="3"/>
    </row>
    <row r="1355" spans="1:3" x14ac:dyDescent="0.3">
      <c r="A1355" s="6"/>
      <c r="B1355" s="6"/>
      <c r="C1355" s="3"/>
    </row>
    <row r="1356" spans="1:3" x14ac:dyDescent="0.3">
      <c r="A1356" s="6"/>
      <c r="B1356" s="6"/>
      <c r="C1356" s="3"/>
    </row>
    <row r="1357" spans="1:3" x14ac:dyDescent="0.3">
      <c r="A1357" s="6"/>
      <c r="B1357" s="6"/>
      <c r="C1357" s="3"/>
    </row>
    <row r="1358" spans="1:3" x14ac:dyDescent="0.3">
      <c r="A1358" s="6"/>
      <c r="B1358" s="6"/>
      <c r="C1358" s="3"/>
    </row>
    <row r="1359" spans="1:3" x14ac:dyDescent="0.3">
      <c r="A1359" s="6"/>
      <c r="B1359" s="6"/>
      <c r="C1359" s="3"/>
    </row>
    <row r="1360" spans="1:3" x14ac:dyDescent="0.3">
      <c r="A1360" s="6"/>
      <c r="B1360" s="6"/>
      <c r="C1360" s="3"/>
    </row>
    <row r="1361" spans="1:3" x14ac:dyDescent="0.3">
      <c r="A1361" s="6"/>
      <c r="B1361" s="6"/>
      <c r="C1361" s="3"/>
    </row>
    <row r="1362" spans="1:3" x14ac:dyDescent="0.3">
      <c r="A1362" s="6"/>
      <c r="B1362" s="6"/>
      <c r="C1362" s="3"/>
    </row>
    <row r="1363" spans="1:3" x14ac:dyDescent="0.3">
      <c r="A1363" s="6"/>
      <c r="B1363" s="6"/>
      <c r="C1363" s="3"/>
    </row>
    <row r="1364" spans="1:3" x14ac:dyDescent="0.3">
      <c r="A1364" s="6"/>
      <c r="B1364" s="6"/>
      <c r="C1364" s="3"/>
    </row>
    <row r="1365" spans="1:3" x14ac:dyDescent="0.3">
      <c r="A1365" s="6"/>
      <c r="B1365" s="6"/>
      <c r="C1365" s="3"/>
    </row>
    <row r="1366" spans="1:3" x14ac:dyDescent="0.3">
      <c r="A1366" s="6"/>
      <c r="B1366" s="6"/>
      <c r="C1366" s="3"/>
    </row>
    <row r="1367" spans="1:3" x14ac:dyDescent="0.3">
      <c r="A1367" s="6"/>
      <c r="B1367" s="6"/>
      <c r="C1367" s="3"/>
    </row>
    <row r="1368" spans="1:3" x14ac:dyDescent="0.3">
      <c r="A1368" s="6"/>
      <c r="B1368" s="6"/>
      <c r="C1368" s="3"/>
    </row>
    <row r="1369" spans="1:3" x14ac:dyDescent="0.3">
      <c r="A1369" s="6"/>
      <c r="B1369" s="6"/>
      <c r="C1369" s="3"/>
    </row>
    <row r="1370" spans="1:3" x14ac:dyDescent="0.3">
      <c r="A1370" s="6"/>
      <c r="B1370" s="6"/>
      <c r="C1370" s="3"/>
    </row>
    <row r="1371" spans="1:3" x14ac:dyDescent="0.3">
      <c r="A1371" s="6"/>
      <c r="B1371" s="6"/>
      <c r="C1371" s="3"/>
    </row>
    <row r="1372" spans="1:3" x14ac:dyDescent="0.3">
      <c r="A1372" s="6"/>
      <c r="B1372" s="6"/>
      <c r="C1372" s="3"/>
    </row>
    <row r="1373" spans="1:3" x14ac:dyDescent="0.3">
      <c r="A1373" s="6"/>
      <c r="B1373" s="6"/>
      <c r="C1373" s="3"/>
    </row>
    <row r="1374" spans="1:3" x14ac:dyDescent="0.3">
      <c r="A1374" s="6"/>
      <c r="B1374" s="6"/>
      <c r="C1374" s="3"/>
    </row>
    <row r="1375" spans="1:3" x14ac:dyDescent="0.3">
      <c r="A1375" s="6"/>
      <c r="B1375" s="6"/>
      <c r="C1375" s="3"/>
    </row>
    <row r="1376" spans="1:3" x14ac:dyDescent="0.3">
      <c r="A1376" s="6"/>
      <c r="B1376" s="6"/>
      <c r="C1376" s="3"/>
    </row>
    <row r="1377" spans="1:3" x14ac:dyDescent="0.3">
      <c r="A1377" s="6"/>
      <c r="B1377" s="6"/>
      <c r="C1377" s="3"/>
    </row>
    <row r="1378" spans="1:3" x14ac:dyDescent="0.3">
      <c r="A1378" s="6"/>
      <c r="B1378" s="6"/>
      <c r="C1378" s="3"/>
    </row>
    <row r="1379" spans="1:3" x14ac:dyDescent="0.3">
      <c r="A1379" s="6"/>
      <c r="B1379" s="6"/>
      <c r="C1379" s="3"/>
    </row>
    <row r="1380" spans="1:3" x14ac:dyDescent="0.3">
      <c r="A1380" s="6"/>
      <c r="B1380" s="6"/>
      <c r="C1380" s="3"/>
    </row>
    <row r="1381" spans="1:3" x14ac:dyDescent="0.3">
      <c r="A1381" s="6"/>
      <c r="B1381" s="6"/>
      <c r="C1381" s="3"/>
    </row>
    <row r="1382" spans="1:3" x14ac:dyDescent="0.3">
      <c r="A1382" s="6"/>
      <c r="B1382" s="6"/>
      <c r="C1382" s="3"/>
    </row>
    <row r="1383" spans="1:3" x14ac:dyDescent="0.3">
      <c r="A1383" s="6"/>
      <c r="B1383" s="6"/>
      <c r="C1383" s="3"/>
    </row>
    <row r="1384" spans="1:3" x14ac:dyDescent="0.3">
      <c r="A1384" s="6"/>
      <c r="B1384" s="6"/>
      <c r="C1384" s="3"/>
    </row>
    <row r="1385" spans="1:3" x14ac:dyDescent="0.3">
      <c r="A1385" s="6"/>
      <c r="B1385" s="6"/>
      <c r="C1385" s="3"/>
    </row>
    <row r="1386" spans="1:3" x14ac:dyDescent="0.3">
      <c r="A1386" s="6"/>
      <c r="B1386" s="6"/>
      <c r="C1386" s="3"/>
    </row>
    <row r="1387" spans="1:3" x14ac:dyDescent="0.3">
      <c r="A1387" s="6"/>
      <c r="B1387" s="6"/>
      <c r="C1387" s="3"/>
    </row>
    <row r="1388" spans="1:3" x14ac:dyDescent="0.3">
      <c r="A1388" s="6"/>
      <c r="B1388" s="6"/>
      <c r="C1388" s="3"/>
    </row>
    <row r="1389" spans="1:3" x14ac:dyDescent="0.3">
      <c r="A1389" s="6"/>
      <c r="B1389" s="6"/>
      <c r="C1389" s="3"/>
    </row>
    <row r="1390" spans="1:3" x14ac:dyDescent="0.3">
      <c r="A1390" s="6"/>
      <c r="B1390" s="6"/>
      <c r="C1390" s="3"/>
    </row>
    <row r="1391" spans="1:3" x14ac:dyDescent="0.3">
      <c r="A1391" s="6"/>
      <c r="B1391" s="6"/>
      <c r="C1391" s="3"/>
    </row>
    <row r="1392" spans="1:3" x14ac:dyDescent="0.3">
      <c r="A1392" s="6"/>
      <c r="B1392" s="6"/>
      <c r="C1392" s="3"/>
    </row>
    <row r="1393" spans="1:3" x14ac:dyDescent="0.3">
      <c r="A1393" s="6"/>
      <c r="B1393" s="6"/>
      <c r="C1393" s="3"/>
    </row>
    <row r="1394" spans="1:3" x14ac:dyDescent="0.3">
      <c r="A1394" s="6"/>
      <c r="B1394" s="6"/>
      <c r="C1394" s="3"/>
    </row>
    <row r="1395" spans="1:3" x14ac:dyDescent="0.3">
      <c r="A1395" s="6"/>
      <c r="B1395" s="6"/>
      <c r="C1395" s="3"/>
    </row>
    <row r="1396" spans="1:3" x14ac:dyDescent="0.3">
      <c r="A1396" s="6"/>
      <c r="B1396" s="6"/>
      <c r="C1396" s="3"/>
    </row>
    <row r="1397" spans="1:3" x14ac:dyDescent="0.3">
      <c r="A1397" s="6"/>
      <c r="B1397" s="6"/>
      <c r="C1397" s="3"/>
    </row>
    <row r="1398" spans="1:3" x14ac:dyDescent="0.3">
      <c r="A1398" s="6"/>
      <c r="B1398" s="6"/>
      <c r="C1398" s="3"/>
    </row>
    <row r="1399" spans="1:3" x14ac:dyDescent="0.3">
      <c r="A1399" s="6"/>
      <c r="B1399" s="6"/>
      <c r="C1399" s="3"/>
    </row>
    <row r="1400" spans="1:3" x14ac:dyDescent="0.3">
      <c r="A1400" s="6"/>
      <c r="B1400" s="6"/>
      <c r="C1400" s="3"/>
    </row>
    <row r="1401" spans="1:3" x14ac:dyDescent="0.3">
      <c r="A1401" s="6"/>
      <c r="B1401" s="6"/>
      <c r="C1401" s="3"/>
    </row>
    <row r="1402" spans="1:3" x14ac:dyDescent="0.3">
      <c r="A1402" s="6"/>
      <c r="B1402" s="6"/>
      <c r="C1402" s="3"/>
    </row>
    <row r="1403" spans="1:3" x14ac:dyDescent="0.3">
      <c r="A1403" s="6"/>
      <c r="B1403" s="6"/>
      <c r="C1403" s="3"/>
    </row>
    <row r="1404" spans="1:3" x14ac:dyDescent="0.3">
      <c r="A1404" s="6"/>
      <c r="B1404" s="6"/>
      <c r="C1404" s="3"/>
    </row>
    <row r="1405" spans="1:3" x14ac:dyDescent="0.3">
      <c r="A1405" s="6"/>
      <c r="B1405" s="6"/>
      <c r="C1405" s="3"/>
    </row>
    <row r="1406" spans="1:3" x14ac:dyDescent="0.3">
      <c r="A1406" s="6"/>
      <c r="B1406" s="6"/>
      <c r="C1406" s="3"/>
    </row>
    <row r="1407" spans="1:3" x14ac:dyDescent="0.3">
      <c r="A1407" s="6"/>
      <c r="B1407" s="6"/>
      <c r="C1407" s="3"/>
    </row>
    <row r="1408" spans="1:3" x14ac:dyDescent="0.3">
      <c r="A1408" s="6"/>
      <c r="B1408" s="6"/>
      <c r="C1408" s="3"/>
    </row>
    <row r="1409" spans="1:3" x14ac:dyDescent="0.3">
      <c r="A1409" s="6"/>
      <c r="B1409" s="6"/>
      <c r="C1409" s="3"/>
    </row>
    <row r="1410" spans="1:3" x14ac:dyDescent="0.3">
      <c r="A1410" s="6"/>
      <c r="B1410" s="6"/>
      <c r="C1410" s="3"/>
    </row>
    <row r="1411" spans="1:3" x14ac:dyDescent="0.3">
      <c r="A1411" s="6"/>
      <c r="B1411" s="6"/>
      <c r="C1411" s="3"/>
    </row>
    <row r="1412" spans="1:3" x14ac:dyDescent="0.3">
      <c r="A1412" s="6"/>
      <c r="B1412" s="6"/>
      <c r="C1412" s="3"/>
    </row>
    <row r="1413" spans="1:3" x14ac:dyDescent="0.3">
      <c r="A1413" s="6"/>
      <c r="B1413" s="6"/>
      <c r="C1413" s="3"/>
    </row>
    <row r="1414" spans="1:3" x14ac:dyDescent="0.3">
      <c r="A1414" s="6"/>
      <c r="B1414" s="6"/>
      <c r="C1414" s="3"/>
    </row>
    <row r="1415" spans="1:3" x14ac:dyDescent="0.3">
      <c r="A1415" s="6"/>
      <c r="B1415" s="6"/>
      <c r="C1415" s="3"/>
    </row>
    <row r="1416" spans="1:3" x14ac:dyDescent="0.3">
      <c r="A1416" s="6"/>
      <c r="B1416" s="6"/>
      <c r="C1416" s="3"/>
    </row>
    <row r="1417" spans="1:3" x14ac:dyDescent="0.3">
      <c r="A1417" s="6"/>
      <c r="B1417" s="6"/>
      <c r="C1417" s="3"/>
    </row>
    <row r="1418" spans="1:3" x14ac:dyDescent="0.3">
      <c r="A1418" s="6"/>
      <c r="B1418" s="6"/>
      <c r="C1418" s="3"/>
    </row>
    <row r="1419" spans="1:3" x14ac:dyDescent="0.3">
      <c r="A1419" s="6"/>
      <c r="B1419" s="6"/>
      <c r="C1419" s="3"/>
    </row>
    <row r="1420" spans="1:3" x14ac:dyDescent="0.3">
      <c r="A1420" s="6"/>
      <c r="B1420" s="6"/>
      <c r="C1420" s="3"/>
    </row>
    <row r="1421" spans="1:3" x14ac:dyDescent="0.3">
      <c r="A1421" s="6"/>
      <c r="B1421" s="6"/>
      <c r="C1421" s="3"/>
    </row>
    <row r="1422" spans="1:3" x14ac:dyDescent="0.3">
      <c r="A1422" s="6"/>
      <c r="B1422" s="6"/>
      <c r="C1422" s="3"/>
    </row>
    <row r="1423" spans="1:3" x14ac:dyDescent="0.3">
      <c r="A1423" s="6"/>
      <c r="B1423" s="6"/>
      <c r="C1423" s="3"/>
    </row>
    <row r="1424" spans="1:3" x14ac:dyDescent="0.3">
      <c r="A1424" s="6"/>
      <c r="B1424" s="6"/>
      <c r="C1424" s="3"/>
    </row>
    <row r="1425" spans="1:3" x14ac:dyDescent="0.3">
      <c r="A1425" s="6"/>
      <c r="B1425" s="6"/>
      <c r="C1425" s="3"/>
    </row>
    <row r="1426" spans="1:3" x14ac:dyDescent="0.3">
      <c r="A1426" s="6"/>
      <c r="B1426" s="6"/>
      <c r="C1426" s="3"/>
    </row>
    <row r="1427" spans="1:3" x14ac:dyDescent="0.3">
      <c r="A1427" s="6"/>
      <c r="B1427" s="6"/>
      <c r="C1427" s="3"/>
    </row>
    <row r="1428" spans="1:3" x14ac:dyDescent="0.3">
      <c r="A1428" s="6"/>
      <c r="B1428" s="6"/>
      <c r="C1428" s="3"/>
    </row>
    <row r="1429" spans="1:3" x14ac:dyDescent="0.3">
      <c r="A1429" s="6"/>
      <c r="B1429" s="6"/>
      <c r="C1429" s="3"/>
    </row>
    <row r="1430" spans="1:3" x14ac:dyDescent="0.3">
      <c r="A1430" s="6"/>
      <c r="B1430" s="6"/>
      <c r="C1430" s="3"/>
    </row>
    <row r="1431" spans="1:3" x14ac:dyDescent="0.3">
      <c r="A1431" s="6"/>
      <c r="B1431" s="6"/>
      <c r="C1431" s="3"/>
    </row>
    <row r="1432" spans="1:3" x14ac:dyDescent="0.3">
      <c r="A1432" s="6"/>
      <c r="B1432" s="6"/>
      <c r="C1432" s="3"/>
    </row>
    <row r="1433" spans="1:3" x14ac:dyDescent="0.3">
      <c r="A1433" s="6"/>
      <c r="B1433" s="6"/>
      <c r="C1433" s="3"/>
    </row>
    <row r="1434" spans="1:3" x14ac:dyDescent="0.3">
      <c r="A1434" s="6"/>
      <c r="B1434" s="6"/>
      <c r="C1434" s="3"/>
    </row>
    <row r="1435" spans="1:3" x14ac:dyDescent="0.3">
      <c r="A1435" s="6"/>
      <c r="B1435" s="6"/>
      <c r="C1435" s="3"/>
    </row>
    <row r="1436" spans="1:3" x14ac:dyDescent="0.3">
      <c r="A1436" s="6"/>
      <c r="B1436" s="6"/>
      <c r="C1436" s="3"/>
    </row>
    <row r="1437" spans="1:3" x14ac:dyDescent="0.3">
      <c r="A1437" s="6"/>
      <c r="B1437" s="6"/>
      <c r="C1437" s="3"/>
    </row>
    <row r="1438" spans="1:3" x14ac:dyDescent="0.3">
      <c r="A1438" s="6"/>
      <c r="B1438" s="6"/>
      <c r="C1438" s="3"/>
    </row>
    <row r="1439" spans="1:3" x14ac:dyDescent="0.3">
      <c r="A1439" s="6"/>
      <c r="B1439" s="6"/>
      <c r="C1439" s="3"/>
    </row>
    <row r="1440" spans="1:3" x14ac:dyDescent="0.3">
      <c r="A1440" s="6"/>
      <c r="B1440" s="6"/>
      <c r="C1440" s="3"/>
    </row>
    <row r="1441" spans="1:3" x14ac:dyDescent="0.3">
      <c r="A1441" s="6"/>
      <c r="B1441" s="6"/>
      <c r="C1441" s="3"/>
    </row>
    <row r="1442" spans="1:3" x14ac:dyDescent="0.3">
      <c r="A1442" s="6"/>
      <c r="B1442" s="6"/>
      <c r="C1442" s="3"/>
    </row>
    <row r="1443" spans="1:3" x14ac:dyDescent="0.3">
      <c r="A1443" s="6"/>
      <c r="B1443" s="6"/>
      <c r="C1443" s="3"/>
    </row>
    <row r="1444" spans="1:3" x14ac:dyDescent="0.3">
      <c r="A1444" s="6"/>
      <c r="B1444" s="6"/>
      <c r="C1444" s="3"/>
    </row>
    <row r="1445" spans="1:3" x14ac:dyDescent="0.3">
      <c r="A1445" s="6"/>
      <c r="B1445" s="6"/>
      <c r="C1445" s="3"/>
    </row>
    <row r="1446" spans="1:3" x14ac:dyDescent="0.3">
      <c r="A1446" s="6"/>
      <c r="B1446" s="6"/>
      <c r="C1446" s="3"/>
    </row>
    <row r="1447" spans="1:3" x14ac:dyDescent="0.3">
      <c r="A1447" s="6"/>
      <c r="B1447" s="6"/>
      <c r="C1447" s="3"/>
    </row>
    <row r="1448" spans="1:3" x14ac:dyDescent="0.3">
      <c r="A1448" s="6"/>
      <c r="B1448" s="6"/>
      <c r="C1448" s="3"/>
    </row>
    <row r="1449" spans="1:3" x14ac:dyDescent="0.3">
      <c r="A1449" s="6"/>
      <c r="B1449" s="6"/>
      <c r="C1449" s="3"/>
    </row>
    <row r="1450" spans="1:3" x14ac:dyDescent="0.3">
      <c r="A1450" s="6"/>
      <c r="B1450" s="6"/>
      <c r="C1450" s="3"/>
    </row>
    <row r="1451" spans="1:3" x14ac:dyDescent="0.3">
      <c r="A1451" s="6"/>
      <c r="B1451" s="6"/>
      <c r="C1451" s="3"/>
    </row>
    <row r="1452" spans="1:3" x14ac:dyDescent="0.3">
      <c r="A1452" s="6"/>
      <c r="B1452" s="6"/>
      <c r="C1452" s="3"/>
    </row>
    <row r="1453" spans="1:3" x14ac:dyDescent="0.3">
      <c r="A1453" s="6"/>
      <c r="B1453" s="6"/>
      <c r="C1453" s="3"/>
    </row>
    <row r="1454" spans="1:3" x14ac:dyDescent="0.3">
      <c r="A1454" s="6"/>
      <c r="B1454" s="6"/>
      <c r="C1454" s="3"/>
    </row>
    <row r="1455" spans="1:3" x14ac:dyDescent="0.3">
      <c r="A1455" s="6"/>
      <c r="B1455" s="6"/>
      <c r="C1455" s="3"/>
    </row>
    <row r="1456" spans="1:3" x14ac:dyDescent="0.3">
      <c r="A1456" s="6"/>
      <c r="B1456" s="6"/>
      <c r="C1456" s="3"/>
    </row>
    <row r="1457" spans="1:3" x14ac:dyDescent="0.3">
      <c r="A1457" s="6"/>
      <c r="B1457" s="6"/>
      <c r="C1457" s="3"/>
    </row>
    <row r="1458" spans="1:3" x14ac:dyDescent="0.3">
      <c r="A1458" s="6"/>
      <c r="B1458" s="6"/>
      <c r="C1458" s="3"/>
    </row>
    <row r="1459" spans="1:3" x14ac:dyDescent="0.3">
      <c r="A1459" s="6"/>
      <c r="B1459" s="6"/>
      <c r="C1459" s="3"/>
    </row>
    <row r="1460" spans="1:3" x14ac:dyDescent="0.3">
      <c r="A1460" s="6"/>
      <c r="B1460" s="6"/>
      <c r="C1460" s="3"/>
    </row>
    <row r="1461" spans="1:3" x14ac:dyDescent="0.3">
      <c r="A1461" s="6"/>
      <c r="B1461" s="6"/>
      <c r="C1461" s="3"/>
    </row>
    <row r="1462" spans="1:3" x14ac:dyDescent="0.3">
      <c r="A1462" s="6"/>
      <c r="B1462" s="6"/>
      <c r="C1462" s="3"/>
    </row>
    <row r="1463" spans="1:3" x14ac:dyDescent="0.3">
      <c r="A1463" s="6"/>
      <c r="B1463" s="6"/>
      <c r="C1463" s="3"/>
    </row>
    <row r="1464" spans="1:3" x14ac:dyDescent="0.3">
      <c r="A1464" s="6"/>
      <c r="B1464" s="6"/>
      <c r="C1464" s="3"/>
    </row>
    <row r="1465" spans="1:3" x14ac:dyDescent="0.3">
      <c r="A1465" s="6"/>
      <c r="B1465" s="6"/>
      <c r="C1465" s="3"/>
    </row>
    <row r="1466" spans="1:3" x14ac:dyDescent="0.3">
      <c r="A1466" s="6"/>
      <c r="B1466" s="6"/>
      <c r="C1466" s="3"/>
    </row>
    <row r="1467" spans="1:3" x14ac:dyDescent="0.3">
      <c r="A1467" s="6"/>
      <c r="B1467" s="6"/>
      <c r="C1467" s="3"/>
    </row>
    <row r="1468" spans="1:3" x14ac:dyDescent="0.3">
      <c r="A1468" s="6"/>
      <c r="B1468" s="6"/>
      <c r="C1468" s="3"/>
    </row>
    <row r="1469" spans="1:3" x14ac:dyDescent="0.3">
      <c r="A1469" s="6"/>
      <c r="B1469" s="6"/>
      <c r="C1469" s="3"/>
    </row>
    <row r="1470" spans="1:3" x14ac:dyDescent="0.3">
      <c r="A1470" s="6"/>
      <c r="B1470" s="6"/>
      <c r="C1470" s="3"/>
    </row>
    <row r="1471" spans="1:3" x14ac:dyDescent="0.3">
      <c r="A1471" s="6"/>
      <c r="B1471" s="6"/>
      <c r="C1471" s="3"/>
    </row>
  </sheetData>
  <mergeCells count="1">
    <mergeCell ref="N1: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Dean</cp:lastModifiedBy>
  <dcterms:created xsi:type="dcterms:W3CDTF">2025-02-21T21:11:28Z</dcterms:created>
  <dcterms:modified xsi:type="dcterms:W3CDTF">2025-03-04T22:58:37Z</dcterms:modified>
</cp:coreProperties>
</file>