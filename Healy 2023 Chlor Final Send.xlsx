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mwhi\Desktop\Automatic CTD Processing\"/>
    </mc:Choice>
  </mc:AlternateContent>
  <xr:revisionPtr revIDLastSave="0" documentId="13_ncr:1_{F2289A80-B372-4CEC-BC25-57CF897446C6}" xr6:coauthVersionLast="47" xr6:coauthVersionMax="47" xr10:uidLastSave="{00000000-0000-0000-0000-000000000000}"/>
  <bookViews>
    <workbookView xWindow="12900" yWindow="0" windowWidth="10140" windowHeight="13758" xr2:uid="{00000000-000D-0000-FFFF-FFFF00000000}"/>
  </bookViews>
  <sheets>
    <sheet name="Sheet2" sheetId="2" r:id="rId1"/>
    <sheet name="From De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1" i="2" l="1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I6" i="1"/>
  <c r="I7" i="1"/>
  <c r="I8" i="1"/>
  <c r="I9" i="1"/>
  <c r="I10" i="1"/>
  <c r="I12" i="1"/>
  <c r="I13" i="1"/>
  <c r="I14" i="1"/>
  <c r="I15" i="1"/>
  <c r="I16" i="1"/>
  <c r="I18" i="1"/>
  <c r="I19" i="1"/>
  <c r="I20" i="1"/>
  <c r="I21" i="1"/>
  <c r="I22" i="1"/>
  <c r="I23" i="1"/>
  <c r="I25" i="1"/>
  <c r="I26" i="1"/>
  <c r="I27" i="1"/>
  <c r="I28" i="1"/>
  <c r="I29" i="1"/>
  <c r="I30" i="1"/>
  <c r="I33" i="1"/>
  <c r="I34" i="1"/>
  <c r="I35" i="1"/>
  <c r="I36" i="1"/>
  <c r="I37" i="1"/>
  <c r="I39" i="1"/>
  <c r="I40" i="1"/>
  <c r="I41" i="1"/>
  <c r="I42" i="1"/>
  <c r="I43" i="1"/>
  <c r="I44" i="1"/>
  <c r="I47" i="1"/>
  <c r="I48" i="1"/>
  <c r="I49" i="1"/>
  <c r="I50" i="1"/>
  <c r="I51" i="1"/>
  <c r="I46" i="1"/>
  <c r="I53" i="1"/>
  <c r="I54" i="1"/>
  <c r="I55" i="1"/>
  <c r="I56" i="1"/>
  <c r="I57" i="1"/>
  <c r="I58" i="1"/>
  <c r="I60" i="1"/>
  <c r="I61" i="1"/>
  <c r="I62" i="1"/>
  <c r="I63" i="1"/>
  <c r="I64" i="1"/>
  <c r="I65" i="1"/>
  <c r="I67" i="1"/>
  <c r="I68" i="1"/>
  <c r="I69" i="1"/>
  <c r="I70" i="1"/>
  <c r="I71" i="1"/>
  <c r="I73" i="1"/>
  <c r="I74" i="1"/>
  <c r="I75" i="1"/>
  <c r="I76" i="1"/>
  <c r="I77" i="1"/>
  <c r="I78" i="1"/>
  <c r="I80" i="1"/>
  <c r="I81" i="1"/>
  <c r="I82" i="1"/>
  <c r="I83" i="1"/>
  <c r="I84" i="1"/>
  <c r="I85" i="1"/>
  <c r="I87" i="1"/>
  <c r="I88" i="1"/>
  <c r="I89" i="1"/>
  <c r="I90" i="1"/>
  <c r="I91" i="1"/>
  <c r="I92" i="1"/>
  <c r="I94" i="1"/>
  <c r="I95" i="1"/>
  <c r="I96" i="1"/>
  <c r="I97" i="1"/>
  <c r="I98" i="1"/>
  <c r="I99" i="1"/>
  <c r="I101" i="1"/>
  <c r="I102" i="1"/>
  <c r="I103" i="1"/>
  <c r="I104" i="1"/>
  <c r="I105" i="1"/>
  <c r="I106" i="1"/>
  <c r="I108" i="1"/>
  <c r="I109" i="1"/>
  <c r="I110" i="1"/>
  <c r="I111" i="1"/>
  <c r="I112" i="1"/>
  <c r="I113" i="1"/>
  <c r="I115" i="1"/>
  <c r="I116" i="1"/>
  <c r="I117" i="1"/>
  <c r="I118" i="1"/>
  <c r="I119" i="1"/>
  <c r="I120" i="1"/>
  <c r="I122" i="1"/>
  <c r="I124" i="1"/>
  <c r="I125" i="1"/>
  <c r="I126" i="1"/>
  <c r="I128" i="1"/>
  <c r="I129" i="1"/>
  <c r="I130" i="1"/>
  <c r="I131" i="1"/>
  <c r="I132" i="1"/>
  <c r="I133" i="1"/>
  <c r="I135" i="1"/>
  <c r="I136" i="1"/>
  <c r="I137" i="1"/>
  <c r="I138" i="1"/>
  <c r="I139" i="1"/>
  <c r="I140" i="1"/>
  <c r="I142" i="1"/>
  <c r="I143" i="1"/>
  <c r="I144" i="1"/>
  <c r="I145" i="1"/>
  <c r="I146" i="1"/>
  <c r="I147" i="1"/>
  <c r="I149" i="1"/>
  <c r="I150" i="1"/>
  <c r="I151" i="1"/>
  <c r="I152" i="1"/>
  <c r="I153" i="1"/>
  <c r="I154" i="1"/>
  <c r="I156" i="1"/>
  <c r="I157" i="1"/>
  <c r="I158" i="1"/>
  <c r="I159" i="1"/>
  <c r="I160" i="1"/>
  <c r="I161" i="1"/>
  <c r="I163" i="1"/>
  <c r="I164" i="1"/>
  <c r="I165" i="1"/>
  <c r="I166" i="1"/>
  <c r="I167" i="1"/>
  <c r="I168" i="1"/>
  <c r="I170" i="1"/>
  <c r="I171" i="1"/>
  <c r="I172" i="1"/>
  <c r="I173" i="1"/>
  <c r="I174" i="1"/>
  <c r="I175" i="1"/>
  <c r="I177" i="1"/>
  <c r="I178" i="1"/>
  <c r="I179" i="1"/>
  <c r="I180" i="1"/>
  <c r="I181" i="1"/>
  <c r="I182" i="1"/>
  <c r="I184" i="1"/>
  <c r="I185" i="1"/>
  <c r="I186" i="1"/>
  <c r="I187" i="1"/>
  <c r="I188" i="1"/>
  <c r="I190" i="1"/>
  <c r="I191" i="1"/>
  <c r="I192" i="1"/>
  <c r="I194" i="1"/>
  <c r="I195" i="1"/>
  <c r="I197" i="1"/>
  <c r="I198" i="1"/>
  <c r="I199" i="1"/>
  <c r="I200" i="1"/>
  <c r="I201" i="1"/>
  <c r="I202" i="1"/>
  <c r="I204" i="1"/>
  <c r="I205" i="1"/>
  <c r="I206" i="1"/>
  <c r="I207" i="1"/>
  <c r="I208" i="1"/>
  <c r="I209" i="1"/>
  <c r="I211" i="1"/>
  <c r="I212" i="1"/>
  <c r="I213" i="1"/>
  <c r="I214" i="1"/>
  <c r="I215" i="1"/>
  <c r="I216" i="1"/>
  <c r="I218" i="1"/>
  <c r="I219" i="1"/>
  <c r="I220" i="1"/>
  <c r="I221" i="1"/>
  <c r="I222" i="1"/>
  <c r="I223" i="1"/>
  <c r="I225" i="1"/>
  <c r="I226" i="1"/>
  <c r="I227" i="1"/>
  <c r="I228" i="1"/>
  <c r="I229" i="1"/>
  <c r="I230" i="1"/>
  <c r="I232" i="1"/>
  <c r="I233" i="1"/>
  <c r="I234" i="1"/>
  <c r="I235" i="1"/>
  <c r="I236" i="1"/>
  <c r="I237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3" i="1"/>
  <c r="I254" i="1"/>
  <c r="I255" i="1"/>
  <c r="I256" i="1"/>
  <c r="I257" i="1"/>
  <c r="I258" i="1"/>
  <c r="I260" i="1"/>
  <c r="I261" i="1"/>
  <c r="I262" i="1"/>
  <c r="I263" i="1"/>
  <c r="I264" i="1"/>
  <c r="I265" i="1"/>
  <c r="I267" i="1"/>
  <c r="I268" i="1"/>
  <c r="I269" i="1"/>
  <c r="I270" i="1"/>
  <c r="I271" i="1"/>
  <c r="I272" i="1"/>
  <c r="I4" i="1"/>
</calcChain>
</file>

<file path=xl/sharedStrings.xml><?xml version="1.0" encoding="utf-8"?>
<sst xmlns="http://schemas.openxmlformats.org/spreadsheetml/2006/main" count="358" uniqueCount="122">
  <si>
    <t>Series</t>
  </si>
  <si>
    <t>Station</t>
  </si>
  <si>
    <t>Date</t>
  </si>
  <si>
    <t>Nisk#</t>
  </si>
  <si>
    <t>Depth</t>
  </si>
  <si>
    <t>Chl</t>
  </si>
  <si>
    <t>Phaeo</t>
  </si>
  <si>
    <t>Date:</t>
  </si>
  <si>
    <t>HEALY 2023</t>
  </si>
  <si>
    <t>Filename: HAB's Leg 1</t>
  </si>
  <si>
    <t>Chl/Phaeo</t>
  </si>
  <si>
    <t>Chl Fluorescence [V]</t>
  </si>
  <si>
    <t>No sample</t>
  </si>
  <si>
    <t>Fluor (V)</t>
  </si>
  <si>
    <t>Analysis</t>
  </si>
  <si>
    <t>HAB's Leg 1 Healy 2023</t>
  </si>
  <si>
    <t>Niskin</t>
  </si>
  <si>
    <t>Cast</t>
  </si>
  <si>
    <t>SampleID</t>
  </si>
  <si>
    <t>Volume</t>
  </si>
  <si>
    <t>21-000001</t>
  </si>
  <si>
    <t>21-000003</t>
  </si>
  <si>
    <t>21-000004</t>
  </si>
  <si>
    <t>21-000005</t>
  </si>
  <si>
    <t>21-000006</t>
  </si>
  <si>
    <t>21-000007</t>
  </si>
  <si>
    <t>21-000013</t>
  </si>
  <si>
    <t>21-000014</t>
  </si>
  <si>
    <t>21-000017</t>
  </si>
  <si>
    <t>21-000012</t>
  </si>
  <si>
    <t>21-000015</t>
  </si>
  <si>
    <t>21-000016</t>
  </si>
  <si>
    <t>21-000018</t>
  </si>
  <si>
    <t>21-000008</t>
  </si>
  <si>
    <t>21-000009</t>
  </si>
  <si>
    <t>21-000010</t>
  </si>
  <si>
    <t>21-000011</t>
  </si>
  <si>
    <t>21-000019</t>
  </si>
  <si>
    <t>21-000020</t>
  </si>
  <si>
    <t>21-000021</t>
  </si>
  <si>
    <t>21-000022</t>
  </si>
  <si>
    <t>21-000023</t>
  </si>
  <si>
    <t>21-000024</t>
  </si>
  <si>
    <t>No sample existed @ analysis phase</t>
  </si>
  <si>
    <t>21-000026</t>
  </si>
  <si>
    <t>21-000027</t>
  </si>
  <si>
    <t>21-000028</t>
  </si>
  <si>
    <t>21-000029</t>
  </si>
  <si>
    <t>21-000030</t>
  </si>
  <si>
    <t>21-000031</t>
  </si>
  <si>
    <t>21-000038</t>
  </si>
  <si>
    <t>21-000039</t>
  </si>
  <si>
    <t>21-000040</t>
  </si>
  <si>
    <t>21-000041</t>
  </si>
  <si>
    <t>21-000042</t>
  </si>
  <si>
    <t>21-000043</t>
  </si>
  <si>
    <t>21-000056</t>
  </si>
  <si>
    <t>21-000057</t>
  </si>
  <si>
    <t>21-000058</t>
  </si>
  <si>
    <t>21-000059</t>
  </si>
  <si>
    <t>21-000060</t>
  </si>
  <si>
    <t>21-000061</t>
  </si>
  <si>
    <t>DepthDean</t>
  </si>
  <si>
    <t>21-000071</t>
  </si>
  <si>
    <t>21-000072</t>
  </si>
  <si>
    <t>21-000073</t>
  </si>
  <si>
    <t>21-000074</t>
  </si>
  <si>
    <t>21-000075</t>
  </si>
  <si>
    <t>21-000076</t>
  </si>
  <si>
    <t>21-000093</t>
  </si>
  <si>
    <t>21-000094</t>
  </si>
  <si>
    <t>21-000095</t>
  </si>
  <si>
    <t>21-000096</t>
  </si>
  <si>
    <t>21-000097</t>
  </si>
  <si>
    <t>21-000098</t>
  </si>
  <si>
    <t>21-000114</t>
  </si>
  <si>
    <t>21-000115</t>
  </si>
  <si>
    <t>21-000116</t>
  </si>
  <si>
    <t>21-000117</t>
  </si>
  <si>
    <t>21-000118</t>
  </si>
  <si>
    <t>21-000133</t>
  </si>
  <si>
    <t>21-000134</t>
  </si>
  <si>
    <t>21-000135</t>
  </si>
  <si>
    <t>21-000136</t>
  </si>
  <si>
    <t>21-000137</t>
  </si>
  <si>
    <t>21-000138</t>
  </si>
  <si>
    <t>21-000157</t>
  </si>
  <si>
    <t>21-000158</t>
  </si>
  <si>
    <t>21-000159</t>
  </si>
  <si>
    <t>21-000160</t>
  </si>
  <si>
    <t>21-000161</t>
  </si>
  <si>
    <t>21-000162</t>
  </si>
  <si>
    <t>21-000177</t>
  </si>
  <si>
    <t>21-000178</t>
  </si>
  <si>
    <t>21-000179</t>
  </si>
  <si>
    <t>21-000180</t>
  </si>
  <si>
    <t>21-000181</t>
  </si>
  <si>
    <t>21-000182</t>
  </si>
  <si>
    <t>21-000228</t>
  </si>
  <si>
    <t>21-000229</t>
  </si>
  <si>
    <t>21-000230</t>
  </si>
  <si>
    <t>21-000231</t>
  </si>
  <si>
    <t>21-000232</t>
  </si>
  <si>
    <t>21-000233</t>
  </si>
  <si>
    <t>21-000201</t>
  </si>
  <si>
    <t>21-000202</t>
  </si>
  <si>
    <t>21-000203</t>
  </si>
  <si>
    <t>21-000204</t>
  </si>
  <si>
    <t>21-000205</t>
  </si>
  <si>
    <t>21-000206</t>
  </si>
  <si>
    <t>21-000243</t>
  </si>
  <si>
    <t>21-000263</t>
  </si>
  <si>
    <t>21-000244</t>
  </si>
  <si>
    <t>21-000245</t>
  </si>
  <si>
    <t>21-000246</t>
  </si>
  <si>
    <t>21-000247</t>
  </si>
  <si>
    <t>21-000248</t>
  </si>
  <si>
    <t>21-000264</t>
  </si>
  <si>
    <t>21-000265</t>
  </si>
  <si>
    <t>21-000266</t>
  </si>
  <si>
    <t>21-000267</t>
  </si>
  <si>
    <t>21-000268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</si>
</sst>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mmm\-yy;@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/>
    <xf numFmtId="15" fontId="2" fillId="0" borderId="0" xfId="0" applyNumberFormat="1" applyFont="1"/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/>
    <xf numFmtId="166" fontId="4" fillId="0" borderId="0" xfId="0" applyNumberFormat="1" applyFont="1"/>
    <xf numFmtId="166" fontId="0" fillId="0" borderId="0" xfId="0" applyNumberFormat="1"/>
    <xf numFmtId="166" fontId="4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NumberFormat="1" applyFont="1" applyAlignment="1">
      <alignment horizontal="center"/>
    </xf>
    <xf numFmtId="0" fontId="0" fillId="0" borderId="0" xfId="0" applyNumberFormat="1"/>
    <xf numFmtId="0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6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C1FF-B1C0-4AA6-83B5-BA5B81F27935}">
  <dimension ref="A1:S231"/>
  <sheetViews>
    <sheetView tabSelected="1" topLeftCell="B92" workbookViewId="0">
      <selection activeCell="F102" sqref="F102"/>
    </sheetView>
  </sheetViews>
  <sheetFormatPr defaultRowHeight="14.4" x14ac:dyDescent="0.55000000000000004"/>
  <cols>
    <col min="1" max="1" width="19.1015625" bestFit="1" customWidth="1"/>
    <col min="2" max="2" width="5.83984375" style="1" bestFit="1" customWidth="1"/>
    <col min="3" max="3" width="14.41796875" style="1" customWidth="1"/>
    <col min="4" max="4" width="19.20703125" style="1" bestFit="1" customWidth="1"/>
    <col min="5" max="5" width="4.41796875" style="21" bestFit="1" customWidth="1"/>
    <col min="6" max="6" width="10.7890625" style="20" bestFit="1" customWidth="1"/>
    <col min="7" max="7" width="10.7890625" style="20" customWidth="1"/>
    <col min="8" max="8" width="5.5234375" style="2" bestFit="1" customWidth="1"/>
    <col min="9" max="9" width="9.26171875" style="2" customWidth="1"/>
    <col min="10" max="10" width="8.15625" style="2" customWidth="1"/>
    <col min="11" max="13" width="8.83984375" style="6"/>
    <col min="14" max="14" width="11.89453125" customWidth="1"/>
  </cols>
  <sheetData>
    <row r="1" spans="1:14" x14ac:dyDescent="0.55000000000000004">
      <c r="A1" t="s">
        <v>14</v>
      </c>
      <c r="B1" s="3" t="s">
        <v>0</v>
      </c>
      <c r="C1" s="3" t="s">
        <v>1</v>
      </c>
      <c r="D1" s="3" t="s">
        <v>2</v>
      </c>
      <c r="E1" s="18" t="s">
        <v>17</v>
      </c>
      <c r="F1" s="18" t="s">
        <v>16</v>
      </c>
      <c r="G1" s="18" t="s">
        <v>4</v>
      </c>
      <c r="H1" s="3" t="s">
        <v>62</v>
      </c>
      <c r="I1" s="3" t="s">
        <v>18</v>
      </c>
      <c r="J1" s="3" t="s">
        <v>19</v>
      </c>
      <c r="K1" s="3" t="s">
        <v>5</v>
      </c>
      <c r="L1" s="7" t="s">
        <v>6</v>
      </c>
      <c r="M1" s="8" t="s">
        <v>10</v>
      </c>
      <c r="N1" s="17" t="s">
        <v>13</v>
      </c>
    </row>
    <row r="2" spans="1:14" x14ac:dyDescent="0.55000000000000004">
      <c r="A2" t="s">
        <v>15</v>
      </c>
      <c r="B2" s="1">
        <v>1</v>
      </c>
      <c r="C2">
        <v>0</v>
      </c>
      <c r="D2" s="4">
        <v>45170</v>
      </c>
      <c r="E2" s="19">
        <v>1</v>
      </c>
      <c r="F2" s="20">
        <v>24</v>
      </c>
      <c r="G2" s="20">
        <v>4</v>
      </c>
      <c r="H2" s="23">
        <v>1050</v>
      </c>
      <c r="I2" t="s">
        <v>20</v>
      </c>
      <c r="J2"/>
      <c r="K2" s="6">
        <v>2.1313120599496913</v>
      </c>
      <c r="L2" s="6">
        <v>1.6198122152140739</v>
      </c>
      <c r="M2" s="6">
        <f>K2/L2</f>
        <v>1.3157772487028798</v>
      </c>
      <c r="N2" s="12">
        <v>2.0500000000000001E-2</v>
      </c>
    </row>
    <row r="3" spans="1:14" x14ac:dyDescent="0.55000000000000004">
      <c r="A3" t="s">
        <v>15</v>
      </c>
      <c r="B3" s="1">
        <v>2</v>
      </c>
      <c r="C3">
        <v>1</v>
      </c>
      <c r="D3" s="4">
        <v>45172</v>
      </c>
      <c r="E3" s="19">
        <v>1</v>
      </c>
      <c r="F3" s="20">
        <v>24</v>
      </c>
      <c r="G3" s="20">
        <v>3</v>
      </c>
      <c r="H3">
        <v>3</v>
      </c>
      <c r="I3" t="s">
        <v>21</v>
      </c>
      <c r="J3"/>
      <c r="K3" s="6">
        <v>0.48392109573736952</v>
      </c>
      <c r="L3" s="6">
        <v>0.29814049175320662</v>
      </c>
      <c r="M3" s="6">
        <f t="shared" ref="M3:M66" si="0">K3/L3</f>
        <v>1.6231310711660982</v>
      </c>
      <c r="N3" s="12">
        <v>2.3300000000000001E-2</v>
      </c>
    </row>
    <row r="4" spans="1:14" x14ac:dyDescent="0.55000000000000004">
      <c r="A4" t="s">
        <v>15</v>
      </c>
      <c r="B4" s="1">
        <v>3</v>
      </c>
      <c r="C4">
        <v>1</v>
      </c>
      <c r="D4" s="4">
        <v>45172</v>
      </c>
      <c r="E4" s="19">
        <v>1</v>
      </c>
      <c r="F4" s="20">
        <v>22</v>
      </c>
      <c r="G4" s="20">
        <v>9.9</v>
      </c>
      <c r="H4">
        <v>10</v>
      </c>
      <c r="I4" t="s">
        <v>22</v>
      </c>
      <c r="J4"/>
      <c r="K4" s="6">
        <v>0.52381884565188674</v>
      </c>
      <c r="L4" s="6">
        <v>0.3102917878259332</v>
      </c>
      <c r="M4" s="6">
        <f t="shared" si="0"/>
        <v>1.688149239533653</v>
      </c>
      <c r="N4" s="12">
        <v>2.64E-2</v>
      </c>
    </row>
    <row r="5" spans="1:14" x14ac:dyDescent="0.55000000000000004">
      <c r="A5" t="s">
        <v>15</v>
      </c>
      <c r="B5" s="1">
        <v>4</v>
      </c>
      <c r="C5">
        <v>1</v>
      </c>
      <c r="D5" s="4">
        <v>45172</v>
      </c>
      <c r="E5" s="19">
        <v>1</v>
      </c>
      <c r="F5" s="20">
        <v>16</v>
      </c>
      <c r="G5" s="20">
        <v>20</v>
      </c>
      <c r="H5">
        <v>20</v>
      </c>
      <c r="I5" t="s">
        <v>23</v>
      </c>
      <c r="J5"/>
      <c r="K5" s="6">
        <v>1.2291081022052868</v>
      </c>
      <c r="L5" s="6">
        <v>0.6802108631611693</v>
      </c>
      <c r="M5" s="6">
        <f t="shared" si="0"/>
        <v>1.806951592177177</v>
      </c>
      <c r="N5" s="12">
        <v>2.75E-2</v>
      </c>
    </row>
    <row r="6" spans="1:14" x14ac:dyDescent="0.55000000000000004">
      <c r="A6" t="s">
        <v>15</v>
      </c>
      <c r="B6" s="1">
        <v>5</v>
      </c>
      <c r="C6">
        <v>1</v>
      </c>
      <c r="D6" s="4">
        <v>45172</v>
      </c>
      <c r="E6" s="19">
        <v>1</v>
      </c>
      <c r="F6" s="20">
        <v>10</v>
      </c>
      <c r="G6" s="20">
        <v>30.1</v>
      </c>
      <c r="H6">
        <v>30</v>
      </c>
      <c r="I6" t="s">
        <v>24</v>
      </c>
      <c r="J6"/>
      <c r="K6" s="6">
        <v>2.1918021969168624</v>
      </c>
      <c r="L6" s="6">
        <v>1.1217541726704174</v>
      </c>
      <c r="M6" s="6">
        <f t="shared" si="0"/>
        <v>1.9539059896689466</v>
      </c>
      <c r="N6" s="12">
        <v>3.4099999999999998E-2</v>
      </c>
    </row>
    <row r="7" spans="1:14" x14ac:dyDescent="0.55000000000000004">
      <c r="A7" t="s">
        <v>15</v>
      </c>
      <c r="B7" s="1">
        <v>6</v>
      </c>
      <c r="C7">
        <v>1</v>
      </c>
      <c r="D7" s="4">
        <v>45172</v>
      </c>
      <c r="E7" s="19">
        <v>1</v>
      </c>
      <c r="F7" s="20">
        <v>5</v>
      </c>
      <c r="G7" s="20">
        <v>37</v>
      </c>
      <c r="H7">
        <v>37</v>
      </c>
      <c r="I7" t="s">
        <v>25</v>
      </c>
      <c r="J7"/>
      <c r="K7" s="6">
        <v>2.7027508006608403</v>
      </c>
      <c r="L7" s="6">
        <v>1.4963832423221202</v>
      </c>
      <c r="M7" s="6">
        <f t="shared" si="0"/>
        <v>1.8061888988188965</v>
      </c>
      <c r="N7" s="12">
        <v>5.1299999999999998E-2</v>
      </c>
    </row>
    <row r="8" spans="1:14" x14ac:dyDescent="0.55000000000000004">
      <c r="A8" t="s">
        <v>15</v>
      </c>
      <c r="B8" s="1">
        <v>7</v>
      </c>
      <c r="C8">
        <v>2</v>
      </c>
      <c r="D8" s="4">
        <v>45172</v>
      </c>
      <c r="E8" s="19">
        <v>1</v>
      </c>
      <c r="F8" s="20">
        <v>24</v>
      </c>
      <c r="G8" s="20">
        <v>3.3</v>
      </c>
      <c r="H8">
        <v>3.3</v>
      </c>
      <c r="I8" s="2" t="s">
        <v>33</v>
      </c>
      <c r="J8"/>
      <c r="K8" s="6">
        <v>0.37066296694777234</v>
      </c>
      <c r="L8" s="6">
        <v>0.23072433018048086</v>
      </c>
      <c r="M8" s="6">
        <f t="shared" si="0"/>
        <v>1.606518769207506</v>
      </c>
      <c r="N8" s="12">
        <v>2.1999999999999999E-2</v>
      </c>
    </row>
    <row r="9" spans="1:14" x14ac:dyDescent="0.55000000000000004">
      <c r="A9" t="s">
        <v>15</v>
      </c>
      <c r="B9" s="1">
        <v>8</v>
      </c>
      <c r="C9">
        <v>2</v>
      </c>
      <c r="D9" s="4">
        <v>45172</v>
      </c>
      <c r="E9" s="19">
        <v>1</v>
      </c>
      <c r="F9" s="20">
        <v>23</v>
      </c>
      <c r="G9" s="20">
        <v>10</v>
      </c>
      <c r="H9">
        <v>10</v>
      </c>
      <c r="I9" s="2" t="s">
        <v>34</v>
      </c>
      <c r="J9"/>
      <c r="K9" s="6">
        <v>0.56500361975719471</v>
      </c>
      <c r="L9" s="6">
        <v>0.36715934018964458</v>
      </c>
      <c r="M9" s="6">
        <f t="shared" si="0"/>
        <v>1.5388512776642422</v>
      </c>
      <c r="N9" s="12">
        <v>2.1999999999999999E-2</v>
      </c>
    </row>
    <row r="10" spans="1:14" x14ac:dyDescent="0.55000000000000004">
      <c r="A10" t="s">
        <v>15</v>
      </c>
      <c r="B10" s="1">
        <v>9</v>
      </c>
      <c r="C10">
        <v>2</v>
      </c>
      <c r="D10" s="4">
        <v>45172</v>
      </c>
      <c r="E10" s="19">
        <v>1</v>
      </c>
      <c r="F10" s="20">
        <v>18</v>
      </c>
      <c r="G10" s="20">
        <v>19.899999999999999</v>
      </c>
      <c r="H10">
        <v>20</v>
      </c>
      <c r="I10" s="2" t="s">
        <v>35</v>
      </c>
      <c r="J10"/>
      <c r="K10" s="6">
        <v>0.60747541805329364</v>
      </c>
      <c r="L10" s="6">
        <v>0.38791652243564662</v>
      </c>
      <c r="M10" s="6">
        <f t="shared" si="0"/>
        <v>1.5659952152568359</v>
      </c>
      <c r="N10" s="12">
        <v>2.3199999999999998E-2</v>
      </c>
    </row>
    <row r="11" spans="1:14" x14ac:dyDescent="0.55000000000000004">
      <c r="A11" t="s">
        <v>15</v>
      </c>
      <c r="B11" s="1">
        <v>10</v>
      </c>
      <c r="C11">
        <v>2</v>
      </c>
      <c r="D11" s="4">
        <v>45172</v>
      </c>
      <c r="E11" s="19">
        <v>1</v>
      </c>
      <c r="F11" s="20">
        <v>12</v>
      </c>
      <c r="G11" s="20">
        <v>30</v>
      </c>
      <c r="H11">
        <v>30</v>
      </c>
      <c r="I11" s="2" t="s">
        <v>36</v>
      </c>
      <c r="J11"/>
      <c r="K11" s="6">
        <v>2.0167669069693028</v>
      </c>
      <c r="L11" s="6">
        <v>1.0480537576233111</v>
      </c>
      <c r="M11" s="6">
        <f t="shared" si="0"/>
        <v>1.9242971959212842</v>
      </c>
      <c r="N11" s="12">
        <v>2.9399999999999999E-2</v>
      </c>
    </row>
    <row r="12" spans="1:14" x14ac:dyDescent="0.55000000000000004">
      <c r="A12" t="s">
        <v>15</v>
      </c>
      <c r="B12" s="1">
        <v>11</v>
      </c>
      <c r="C12">
        <v>2</v>
      </c>
      <c r="D12" s="4">
        <v>45172</v>
      </c>
      <c r="E12" s="19">
        <v>1</v>
      </c>
      <c r="F12" s="20">
        <v>1</v>
      </c>
      <c r="G12" s="20">
        <v>40</v>
      </c>
      <c r="H12">
        <v>40</v>
      </c>
      <c r="I12" s="2" t="s">
        <v>29</v>
      </c>
      <c r="J12"/>
      <c r="K12" s="6">
        <v>2.3308008095222768</v>
      </c>
      <c r="L12" s="6">
        <v>1.2583400501591546</v>
      </c>
      <c r="M12" s="6">
        <f t="shared" si="0"/>
        <v>1.8522821468071984</v>
      </c>
      <c r="N12" s="12">
        <v>4.36E-2</v>
      </c>
    </row>
    <row r="13" spans="1:14" x14ac:dyDescent="0.55000000000000004">
      <c r="A13" t="s">
        <v>15</v>
      </c>
      <c r="B13" s="1">
        <v>12</v>
      </c>
      <c r="C13">
        <v>3</v>
      </c>
      <c r="D13" s="4">
        <v>45172</v>
      </c>
      <c r="E13" s="19">
        <v>1</v>
      </c>
      <c r="F13" s="20">
        <v>24</v>
      </c>
      <c r="G13" s="20">
        <v>3.1</v>
      </c>
      <c r="H13">
        <v>3.1</v>
      </c>
      <c r="I13" t="s">
        <v>26</v>
      </c>
      <c r="J13"/>
      <c r="K13" s="6">
        <v>0.57272576490193994</v>
      </c>
      <c r="L13" s="6">
        <v>0.38091332312608345</v>
      </c>
      <c r="M13" s="6">
        <f t="shared" si="0"/>
        <v>1.5035592879810245</v>
      </c>
      <c r="N13" s="12">
        <v>2.3300000000000001E-2</v>
      </c>
    </row>
    <row r="14" spans="1:14" x14ac:dyDescent="0.55000000000000004">
      <c r="A14" t="s">
        <v>15</v>
      </c>
      <c r="B14" s="1">
        <v>13</v>
      </c>
      <c r="C14">
        <v>3</v>
      </c>
      <c r="D14" s="4">
        <v>45172</v>
      </c>
      <c r="E14" s="19">
        <v>1</v>
      </c>
      <c r="F14" s="20">
        <v>22</v>
      </c>
      <c r="G14" s="20">
        <v>9.9</v>
      </c>
      <c r="H14">
        <v>9.9</v>
      </c>
      <c r="I14" t="s">
        <v>27</v>
      </c>
      <c r="J14"/>
      <c r="K14" s="6">
        <v>1.9871653505811131</v>
      </c>
      <c r="L14" s="6">
        <v>1.099278827643815</v>
      </c>
      <c r="M14" s="6">
        <f t="shared" si="0"/>
        <v>1.8076991029113028</v>
      </c>
      <c r="N14" s="12">
        <v>2.4500000000000001E-2</v>
      </c>
    </row>
    <row r="15" spans="1:14" x14ac:dyDescent="0.55000000000000004">
      <c r="A15" t="s">
        <v>15</v>
      </c>
      <c r="B15" s="1">
        <v>14</v>
      </c>
      <c r="C15">
        <v>3</v>
      </c>
      <c r="D15" s="4">
        <v>45172</v>
      </c>
      <c r="E15" s="19">
        <v>1</v>
      </c>
      <c r="F15" s="20">
        <v>14</v>
      </c>
      <c r="G15" s="20">
        <v>19.899999999999999</v>
      </c>
      <c r="H15">
        <v>19.899999999999999</v>
      </c>
      <c r="I15" t="s">
        <v>30</v>
      </c>
      <c r="J15"/>
      <c r="K15" s="6">
        <v>0.61777161157962057</v>
      </c>
      <c r="L15" s="6">
        <v>0.40424455375366725</v>
      </c>
      <c r="M15" s="6">
        <f t="shared" si="0"/>
        <v>1.5282125778646096</v>
      </c>
      <c r="N15" s="12">
        <v>2.5499999999999998E-2</v>
      </c>
    </row>
    <row r="16" spans="1:14" x14ac:dyDescent="0.55000000000000004">
      <c r="A16" t="s">
        <v>15</v>
      </c>
      <c r="B16" s="1">
        <v>15</v>
      </c>
      <c r="C16">
        <v>3</v>
      </c>
      <c r="D16" s="4">
        <v>45172</v>
      </c>
      <c r="E16" s="19">
        <v>1</v>
      </c>
      <c r="F16" s="20">
        <v>12</v>
      </c>
      <c r="G16" s="20">
        <v>30.1</v>
      </c>
      <c r="H16">
        <v>30.2</v>
      </c>
      <c r="I16" t="s">
        <v>31</v>
      </c>
      <c r="J16"/>
      <c r="K16" s="6">
        <v>1.6589741819294397</v>
      </c>
      <c r="L16" s="6">
        <v>0.99426565728480476</v>
      </c>
      <c r="M16" s="6">
        <f t="shared" si="0"/>
        <v>1.6685421745933149</v>
      </c>
      <c r="N16" s="12">
        <v>4.4699999999999997E-2</v>
      </c>
    </row>
    <row r="17" spans="1:15" x14ac:dyDescent="0.55000000000000004">
      <c r="A17" t="s">
        <v>15</v>
      </c>
      <c r="B17" s="1">
        <v>16</v>
      </c>
      <c r="C17">
        <v>3</v>
      </c>
      <c r="D17" s="4">
        <v>45172</v>
      </c>
      <c r="E17" s="19">
        <v>1</v>
      </c>
      <c r="F17" s="20">
        <v>6</v>
      </c>
      <c r="G17" s="20">
        <v>40</v>
      </c>
      <c r="H17">
        <v>40</v>
      </c>
      <c r="I17" t="s">
        <v>28</v>
      </c>
      <c r="J17"/>
      <c r="K17" s="6">
        <v>0.78508475638243458</v>
      </c>
      <c r="L17" s="6">
        <v>0.47384192633104466</v>
      </c>
      <c r="M17" s="6">
        <f t="shared" si="0"/>
        <v>1.6568494950654564</v>
      </c>
      <c r="N17" s="12">
        <v>4.2700000000000002E-2</v>
      </c>
    </row>
    <row r="18" spans="1:15" x14ac:dyDescent="0.55000000000000004">
      <c r="A18" t="s">
        <v>15</v>
      </c>
      <c r="B18" s="1">
        <v>17</v>
      </c>
      <c r="C18">
        <v>3</v>
      </c>
      <c r="D18" s="4">
        <v>45172</v>
      </c>
      <c r="E18" s="19">
        <v>1</v>
      </c>
      <c r="F18" s="20">
        <v>1</v>
      </c>
      <c r="G18" s="20">
        <v>52.1</v>
      </c>
      <c r="H18">
        <v>52.1</v>
      </c>
      <c r="I18" t="s">
        <v>32</v>
      </c>
      <c r="J18"/>
      <c r="K18" s="6">
        <v>0.97813838500106598</v>
      </c>
      <c r="L18" s="6">
        <v>0.33152537373151197</v>
      </c>
      <c r="M18" s="6">
        <f t="shared" si="0"/>
        <v>2.9504178639225902</v>
      </c>
      <c r="N18" s="12">
        <v>3.1099999999999999E-2</v>
      </c>
    </row>
    <row r="19" spans="1:15" x14ac:dyDescent="0.55000000000000004">
      <c r="A19" t="s">
        <v>15</v>
      </c>
      <c r="B19" s="1">
        <v>18</v>
      </c>
      <c r="C19">
        <v>4</v>
      </c>
      <c r="D19" s="4">
        <v>45173</v>
      </c>
      <c r="E19" s="19">
        <v>1</v>
      </c>
      <c r="F19" s="20">
        <v>24</v>
      </c>
      <c r="G19" s="20">
        <v>4</v>
      </c>
      <c r="H19">
        <v>4</v>
      </c>
      <c r="I19" t="s">
        <v>37</v>
      </c>
      <c r="J19"/>
      <c r="K19" s="6">
        <v>0.23655504626736309</v>
      </c>
      <c r="L19" s="6">
        <v>0.15307441123032364</v>
      </c>
      <c r="M19" s="6">
        <f t="shared" si="0"/>
        <v>1.5453598309872327</v>
      </c>
      <c r="N19" s="12">
        <v>2.6599999999999999E-2</v>
      </c>
    </row>
    <row r="20" spans="1:15" x14ac:dyDescent="0.55000000000000004">
      <c r="A20" t="s">
        <v>15</v>
      </c>
      <c r="B20" s="1">
        <v>19</v>
      </c>
      <c r="C20">
        <v>4</v>
      </c>
      <c r="D20" s="4">
        <v>45173</v>
      </c>
      <c r="E20" s="19">
        <v>1</v>
      </c>
      <c r="F20" s="20">
        <v>22</v>
      </c>
      <c r="G20" s="20">
        <v>10</v>
      </c>
      <c r="H20">
        <v>10</v>
      </c>
      <c r="I20" t="s">
        <v>38</v>
      </c>
      <c r="J20"/>
      <c r="K20" s="6">
        <v>0.75934427256661707</v>
      </c>
      <c r="L20" s="6">
        <v>0.37692575657324279</v>
      </c>
      <c r="M20" s="6">
        <f t="shared" si="0"/>
        <v>2.0145725234329115</v>
      </c>
      <c r="N20" s="12">
        <v>3.0099999999999998E-2</v>
      </c>
    </row>
    <row r="21" spans="1:15" x14ac:dyDescent="0.55000000000000004">
      <c r="A21" t="s">
        <v>15</v>
      </c>
      <c r="B21" s="1">
        <v>20</v>
      </c>
      <c r="C21">
        <v>4</v>
      </c>
      <c r="D21" s="4">
        <v>45173</v>
      </c>
      <c r="E21" s="19">
        <v>1</v>
      </c>
      <c r="F21" s="20">
        <v>15</v>
      </c>
      <c r="G21" s="20">
        <v>20</v>
      </c>
      <c r="H21">
        <v>20</v>
      </c>
      <c r="I21" t="s">
        <v>39</v>
      </c>
      <c r="J21"/>
      <c r="K21" s="6">
        <v>0.94081468346813046</v>
      </c>
      <c r="L21" s="6">
        <v>0.58011078352485324</v>
      </c>
      <c r="M21" s="6">
        <f t="shared" si="0"/>
        <v>1.6217845111438509</v>
      </c>
      <c r="N21" s="12">
        <v>3.3500000000000002E-2</v>
      </c>
    </row>
    <row r="22" spans="1:15" x14ac:dyDescent="0.55000000000000004">
      <c r="A22" t="s">
        <v>15</v>
      </c>
      <c r="B22" s="1">
        <v>22</v>
      </c>
      <c r="C22">
        <v>4</v>
      </c>
      <c r="D22" s="4">
        <v>45173</v>
      </c>
      <c r="E22" s="19">
        <v>1</v>
      </c>
      <c r="F22" s="20">
        <v>14</v>
      </c>
      <c r="G22" s="20">
        <v>30</v>
      </c>
      <c r="H22">
        <v>30</v>
      </c>
      <c r="I22" t="s">
        <v>40</v>
      </c>
      <c r="J22"/>
      <c r="K22" s="6">
        <v>0.5714387407111492</v>
      </c>
      <c r="L22" s="6">
        <v>0.34464163974346967</v>
      </c>
      <c r="M22" s="6">
        <f t="shared" si="0"/>
        <v>1.6580664516815018</v>
      </c>
      <c r="N22" s="12">
        <v>4.2999999999999997E-2</v>
      </c>
    </row>
    <row r="23" spans="1:15" x14ac:dyDescent="0.55000000000000004">
      <c r="A23" t="s">
        <v>15</v>
      </c>
      <c r="B23" s="1">
        <v>23</v>
      </c>
      <c r="C23">
        <v>4</v>
      </c>
      <c r="D23" s="4">
        <v>45173</v>
      </c>
      <c r="E23" s="19">
        <v>1</v>
      </c>
      <c r="F23" s="20">
        <v>8</v>
      </c>
      <c r="G23" s="20">
        <v>40</v>
      </c>
      <c r="H23">
        <v>40</v>
      </c>
      <c r="I23" t="s">
        <v>41</v>
      </c>
      <c r="J23"/>
      <c r="K23" s="6">
        <v>1.642242867449158</v>
      </c>
      <c r="L23" s="6">
        <v>0.99804259129628181</v>
      </c>
      <c r="M23" s="6">
        <f t="shared" si="0"/>
        <v>1.6454637124415437</v>
      </c>
      <c r="N23" s="12">
        <v>3.6700000000000003E-2</v>
      </c>
    </row>
    <row r="24" spans="1:15" x14ac:dyDescent="0.55000000000000004">
      <c r="A24" t="s">
        <v>15</v>
      </c>
      <c r="B24" s="1">
        <v>24</v>
      </c>
      <c r="C24">
        <v>4</v>
      </c>
      <c r="D24" s="4">
        <v>45173</v>
      </c>
      <c r="E24" s="19">
        <v>1</v>
      </c>
      <c r="F24" s="20">
        <v>7</v>
      </c>
      <c r="G24" s="20">
        <v>50</v>
      </c>
      <c r="H24">
        <v>50</v>
      </c>
      <c r="I24" t="s">
        <v>42</v>
      </c>
      <c r="J24"/>
      <c r="K24" s="6">
        <v>0.4929302650729056</v>
      </c>
      <c r="L24" s="6">
        <v>0.31197513132209753</v>
      </c>
      <c r="M24" s="6">
        <f t="shared" si="0"/>
        <v>1.5800306357239149</v>
      </c>
      <c r="N24" s="12">
        <v>2.4E-2</v>
      </c>
    </row>
    <row r="25" spans="1:15" x14ac:dyDescent="0.55000000000000004">
      <c r="A25" t="s">
        <v>15</v>
      </c>
      <c r="B25" s="1">
        <v>25</v>
      </c>
      <c r="C25">
        <v>5</v>
      </c>
      <c r="D25" s="4">
        <v>45173</v>
      </c>
      <c r="E25" s="19">
        <v>1</v>
      </c>
      <c r="F25" s="20">
        <v>24</v>
      </c>
      <c r="G25" s="20">
        <v>2.9</v>
      </c>
      <c r="H25">
        <v>2.9</v>
      </c>
      <c r="I25" t="s">
        <v>44</v>
      </c>
      <c r="J25"/>
      <c r="K25" s="15"/>
      <c r="N25" s="12">
        <v>2.5899999999999999E-2</v>
      </c>
      <c r="O25" t="s">
        <v>43</v>
      </c>
    </row>
    <row r="26" spans="1:15" x14ac:dyDescent="0.55000000000000004">
      <c r="A26" t="s">
        <v>15</v>
      </c>
      <c r="B26" s="1">
        <v>26</v>
      </c>
      <c r="C26">
        <v>5</v>
      </c>
      <c r="D26" s="4">
        <v>45173</v>
      </c>
      <c r="E26" s="19">
        <v>1</v>
      </c>
      <c r="F26" s="20">
        <v>22</v>
      </c>
      <c r="G26" s="20">
        <v>10.3</v>
      </c>
      <c r="H26">
        <v>10.3</v>
      </c>
      <c r="I26" t="s">
        <v>45</v>
      </c>
      <c r="J26"/>
      <c r="K26" s="6">
        <v>0.63450292605990211</v>
      </c>
      <c r="L26" s="6">
        <v>0.43424591137567453</v>
      </c>
      <c r="M26" s="6">
        <f t="shared" si="0"/>
        <v>1.4611603919305101</v>
      </c>
      <c r="N26" s="12">
        <v>2.5000000000000001E-2</v>
      </c>
    </row>
    <row r="27" spans="1:15" x14ac:dyDescent="0.55000000000000004">
      <c r="A27" t="s">
        <v>15</v>
      </c>
      <c r="B27" s="1">
        <v>27</v>
      </c>
      <c r="C27">
        <v>5</v>
      </c>
      <c r="D27" s="4">
        <v>45173</v>
      </c>
      <c r="E27" s="19">
        <v>1</v>
      </c>
      <c r="F27" s="20">
        <v>21</v>
      </c>
      <c r="G27" s="20">
        <v>20</v>
      </c>
      <c r="H27">
        <v>20</v>
      </c>
      <c r="I27" t="s">
        <v>46</v>
      </c>
      <c r="J27"/>
      <c r="K27" s="6">
        <v>0.8481489417311876</v>
      </c>
      <c r="L27" s="6">
        <v>0.51519149562970068</v>
      </c>
      <c r="M27" s="6">
        <f t="shared" si="0"/>
        <v>1.6462790029065302</v>
      </c>
      <c r="N27" s="12">
        <v>2.7799999999999998E-2</v>
      </c>
    </row>
    <row r="28" spans="1:15" x14ac:dyDescent="0.55000000000000004">
      <c r="A28" t="s">
        <v>15</v>
      </c>
      <c r="B28" s="1">
        <v>28</v>
      </c>
      <c r="C28">
        <v>5</v>
      </c>
      <c r="D28" s="4">
        <v>45173</v>
      </c>
      <c r="E28" s="19">
        <v>1</v>
      </c>
      <c r="F28" s="20">
        <v>20</v>
      </c>
      <c r="G28" s="20">
        <v>30</v>
      </c>
      <c r="H28">
        <v>30</v>
      </c>
      <c r="I28" t="s">
        <v>47</v>
      </c>
      <c r="J28"/>
      <c r="K28" s="6">
        <v>1.8661850766467707</v>
      </c>
      <c r="L28" s="6">
        <v>1.1061735148933771</v>
      </c>
      <c r="M28" s="6">
        <f t="shared" si="0"/>
        <v>1.687063603965107</v>
      </c>
      <c r="N28" s="12">
        <v>4.0399999999999998E-2</v>
      </c>
    </row>
    <row r="29" spans="1:15" x14ac:dyDescent="0.55000000000000004">
      <c r="A29" t="s">
        <v>15</v>
      </c>
      <c r="B29" s="1">
        <v>29</v>
      </c>
      <c r="C29">
        <v>5</v>
      </c>
      <c r="D29" s="4">
        <v>45173</v>
      </c>
      <c r="E29" s="19">
        <v>1</v>
      </c>
      <c r="F29" s="20">
        <v>14</v>
      </c>
      <c r="G29" s="20">
        <v>39.9</v>
      </c>
      <c r="H29">
        <v>39.9</v>
      </c>
      <c r="I29" t="s">
        <v>48</v>
      </c>
      <c r="J29"/>
      <c r="K29" s="6">
        <v>0.97985441725545375</v>
      </c>
      <c r="L29" s="6">
        <v>0.60990169936491279</v>
      </c>
      <c r="M29" s="6">
        <f t="shared" si="0"/>
        <v>1.6065776145168487</v>
      </c>
      <c r="N29" s="12">
        <v>3.27E-2</v>
      </c>
    </row>
    <row r="30" spans="1:15" x14ac:dyDescent="0.55000000000000004">
      <c r="A30" t="s">
        <v>15</v>
      </c>
      <c r="B30" s="1">
        <v>30</v>
      </c>
      <c r="C30">
        <v>5</v>
      </c>
      <c r="D30" s="4">
        <v>45173</v>
      </c>
      <c r="E30" s="19">
        <v>1</v>
      </c>
      <c r="F30" s="20">
        <v>13</v>
      </c>
      <c r="G30" s="20">
        <v>55.2</v>
      </c>
      <c r="H30">
        <v>55.2</v>
      </c>
      <c r="I30" t="s">
        <v>49</v>
      </c>
      <c r="J30"/>
      <c r="K30" s="6">
        <v>5.8559600680984883E-2</v>
      </c>
      <c r="L30" s="6">
        <v>2.405748851249748E-2</v>
      </c>
      <c r="M30" s="6">
        <f t="shared" si="0"/>
        <v>2.4341527026216436</v>
      </c>
      <c r="N30" s="12">
        <v>2.3199999999999998E-2</v>
      </c>
    </row>
    <row r="31" spans="1:15" x14ac:dyDescent="0.55000000000000004">
      <c r="A31" t="s">
        <v>15</v>
      </c>
      <c r="B31" s="1">
        <v>31</v>
      </c>
      <c r="C31">
        <v>6</v>
      </c>
      <c r="D31" s="4">
        <v>45173</v>
      </c>
      <c r="E31" s="19">
        <v>1</v>
      </c>
      <c r="F31" s="20">
        <v>24</v>
      </c>
      <c r="G31" s="20">
        <v>2.2999999999999998</v>
      </c>
      <c r="H31">
        <v>2.2999999999999998</v>
      </c>
      <c r="I31" t="s">
        <v>50</v>
      </c>
      <c r="J31"/>
      <c r="K31" s="6">
        <v>0.51480967631635055</v>
      </c>
      <c r="L31" s="6">
        <v>0.35556915861563948</v>
      </c>
      <c r="M31" s="6">
        <f t="shared" si="0"/>
        <v>1.4478468220379195</v>
      </c>
      <c r="N31" s="12">
        <v>1.8608</v>
      </c>
    </row>
    <row r="32" spans="1:15" x14ac:dyDescent="0.55000000000000004">
      <c r="A32" t="s">
        <v>15</v>
      </c>
      <c r="B32" s="1">
        <v>32</v>
      </c>
      <c r="C32">
        <v>6</v>
      </c>
      <c r="D32" s="4">
        <v>45173</v>
      </c>
      <c r="E32" s="19">
        <v>1</v>
      </c>
      <c r="F32" s="20">
        <v>22</v>
      </c>
      <c r="G32" s="20">
        <v>10.1</v>
      </c>
      <c r="H32">
        <v>10.1</v>
      </c>
      <c r="I32" t="s">
        <v>51</v>
      </c>
      <c r="J32"/>
      <c r="K32" s="6">
        <v>0.80181607086271589</v>
      </c>
      <c r="L32" s="6">
        <v>0.56416166186998817</v>
      </c>
      <c r="M32" s="6">
        <f t="shared" si="0"/>
        <v>1.4212523201328338</v>
      </c>
      <c r="N32" s="12">
        <v>1.8653999999999999</v>
      </c>
    </row>
    <row r="33" spans="1:14" x14ac:dyDescent="0.55000000000000004">
      <c r="A33" t="s">
        <v>15</v>
      </c>
      <c r="B33" s="1">
        <v>33</v>
      </c>
      <c r="C33">
        <v>6</v>
      </c>
      <c r="D33" s="4">
        <v>45173</v>
      </c>
      <c r="E33" s="19">
        <v>1</v>
      </c>
      <c r="F33" s="20">
        <v>21</v>
      </c>
      <c r="G33" s="20">
        <v>20</v>
      </c>
      <c r="H33">
        <v>20</v>
      </c>
      <c r="I33" t="s">
        <v>52</v>
      </c>
      <c r="J33"/>
      <c r="K33" s="6">
        <v>0.801816070862716</v>
      </c>
      <c r="L33" s="6">
        <v>0.41698481975266433</v>
      </c>
      <c r="M33" s="6">
        <f t="shared" si="0"/>
        <v>1.922890313700905</v>
      </c>
      <c r="N33" s="12">
        <v>1.8852</v>
      </c>
    </row>
    <row r="34" spans="1:14" x14ac:dyDescent="0.55000000000000004">
      <c r="A34" t="s">
        <v>15</v>
      </c>
      <c r="B34" s="1">
        <v>34</v>
      </c>
      <c r="C34">
        <v>6</v>
      </c>
      <c r="D34" s="4">
        <v>45173</v>
      </c>
      <c r="E34" s="19">
        <v>1</v>
      </c>
      <c r="F34" s="20">
        <v>20</v>
      </c>
      <c r="G34" s="20">
        <v>30</v>
      </c>
      <c r="H34">
        <v>30</v>
      </c>
      <c r="I34" t="s">
        <v>53</v>
      </c>
      <c r="J34"/>
      <c r="K34" s="6">
        <v>1.7361956333768922</v>
      </c>
      <c r="L34" s="6">
        <v>0.91465932614822409</v>
      </c>
      <c r="M34" s="6">
        <f t="shared" si="0"/>
        <v>1.8981883021827244</v>
      </c>
      <c r="N34" s="12">
        <v>1.8935999999999999</v>
      </c>
    </row>
    <row r="35" spans="1:14" x14ac:dyDescent="0.55000000000000004">
      <c r="A35" t="s">
        <v>15</v>
      </c>
      <c r="B35" s="1">
        <v>35</v>
      </c>
      <c r="C35">
        <v>6</v>
      </c>
      <c r="D35" s="4">
        <v>45173</v>
      </c>
      <c r="E35" s="19">
        <v>1</v>
      </c>
      <c r="F35" s="20">
        <v>18</v>
      </c>
      <c r="G35" s="20">
        <v>40</v>
      </c>
      <c r="H35">
        <v>40</v>
      </c>
      <c r="I35" t="s">
        <v>54</v>
      </c>
      <c r="J35"/>
      <c r="K35" s="6">
        <v>1.1390164088499255</v>
      </c>
      <c r="L35" s="6">
        <v>0.69869225005629276</v>
      </c>
      <c r="M35" s="6">
        <f t="shared" si="0"/>
        <v>1.6302118833551629</v>
      </c>
      <c r="N35" s="12">
        <v>1.907</v>
      </c>
    </row>
    <row r="36" spans="1:14" x14ac:dyDescent="0.55000000000000004">
      <c r="A36" t="s">
        <v>15</v>
      </c>
      <c r="B36" s="1">
        <v>36</v>
      </c>
      <c r="C36">
        <v>6</v>
      </c>
      <c r="D36" s="4">
        <v>45173</v>
      </c>
      <c r="E36" s="19">
        <v>1</v>
      </c>
      <c r="F36" s="20">
        <v>17</v>
      </c>
      <c r="G36" s="20">
        <v>55.1</v>
      </c>
      <c r="H36" s="22">
        <v>0</v>
      </c>
      <c r="I36" t="s">
        <v>55</v>
      </c>
      <c r="J36"/>
      <c r="K36" s="6">
        <v>0.18031208912980179</v>
      </c>
      <c r="L36" s="6">
        <v>0.11649524529368348</v>
      </c>
      <c r="M36" s="6">
        <f t="shared" si="0"/>
        <v>1.5478064248479551</v>
      </c>
      <c r="N36" s="12">
        <v>1.8828</v>
      </c>
    </row>
    <row r="37" spans="1:14" x14ac:dyDescent="0.55000000000000004">
      <c r="A37" t="s">
        <v>15</v>
      </c>
      <c r="B37" s="1">
        <v>37</v>
      </c>
      <c r="C37">
        <v>7</v>
      </c>
      <c r="D37" s="4">
        <v>45174</v>
      </c>
      <c r="E37" s="19">
        <v>1</v>
      </c>
      <c r="F37" s="20">
        <v>24</v>
      </c>
      <c r="G37" s="20">
        <v>2</v>
      </c>
      <c r="H37">
        <v>2</v>
      </c>
      <c r="I37" t="s">
        <v>56</v>
      </c>
      <c r="J37"/>
      <c r="K37" s="6">
        <v>5.0381029688641672E-2</v>
      </c>
      <c r="L37" s="6">
        <v>0.36160252182176861</v>
      </c>
      <c r="M37" s="6">
        <f t="shared" ref="M37:M42" si="1">K37/L37</f>
        <v>0.13932709715302852</v>
      </c>
      <c r="N37" s="12">
        <v>2.6700000000000002E-2</v>
      </c>
    </row>
    <row r="38" spans="1:14" x14ac:dyDescent="0.55000000000000004">
      <c r="A38" t="s">
        <v>15</v>
      </c>
      <c r="B38" s="1">
        <v>38</v>
      </c>
      <c r="C38">
        <v>7</v>
      </c>
      <c r="D38" s="4">
        <v>45174</v>
      </c>
      <c r="E38" s="19">
        <v>1</v>
      </c>
      <c r="F38" s="20">
        <v>22</v>
      </c>
      <c r="G38" s="20">
        <v>10</v>
      </c>
      <c r="H38">
        <v>10</v>
      </c>
      <c r="I38" t="s">
        <v>57</v>
      </c>
      <c r="J38"/>
      <c r="K38" s="6">
        <v>7.0127440592248499E-2</v>
      </c>
      <c r="L38" s="6">
        <v>0.50063062825088911</v>
      </c>
      <c r="M38" s="6">
        <f t="shared" si="1"/>
        <v>0.1400782066356204</v>
      </c>
      <c r="N38" s="12">
        <v>2.69E-2</v>
      </c>
    </row>
    <row r="39" spans="1:14" x14ac:dyDescent="0.55000000000000004">
      <c r="A39" t="s">
        <v>15</v>
      </c>
      <c r="B39" s="1">
        <v>39</v>
      </c>
      <c r="C39">
        <v>7</v>
      </c>
      <c r="D39" s="4">
        <v>45174</v>
      </c>
      <c r="E39" s="19">
        <v>1</v>
      </c>
      <c r="F39" s="20">
        <v>21</v>
      </c>
      <c r="G39" s="20">
        <v>20</v>
      </c>
      <c r="H39">
        <v>20</v>
      </c>
      <c r="I39" t="s">
        <v>58</v>
      </c>
      <c r="J39"/>
      <c r="K39" s="6">
        <v>8.212292385144887E-2</v>
      </c>
      <c r="L39" s="6">
        <v>0.79995772799703657</v>
      </c>
      <c r="M39" s="6">
        <f t="shared" si="1"/>
        <v>0.10265907932044266</v>
      </c>
      <c r="N39" s="12">
        <v>2.93E-2</v>
      </c>
    </row>
    <row r="40" spans="1:14" x14ac:dyDescent="0.55000000000000004">
      <c r="A40" t="s">
        <v>15</v>
      </c>
      <c r="B40" s="1">
        <v>40</v>
      </c>
      <c r="C40">
        <v>7</v>
      </c>
      <c r="D40" s="4">
        <v>45174</v>
      </c>
      <c r="E40" s="19">
        <v>1</v>
      </c>
      <c r="F40" s="20">
        <v>20</v>
      </c>
      <c r="G40" s="20">
        <v>30</v>
      </c>
      <c r="H40">
        <v>30</v>
      </c>
      <c r="I40" t="s">
        <v>59</v>
      </c>
      <c r="J40"/>
      <c r="K40" s="6">
        <v>0.13748669274006609</v>
      </c>
      <c r="L40" s="6">
        <v>1.2842197696510218</v>
      </c>
      <c r="M40" s="6">
        <f t="shared" si="1"/>
        <v>0.10705853934753487</v>
      </c>
      <c r="N40" s="12">
        <v>4.2700000000000002E-2</v>
      </c>
    </row>
    <row r="41" spans="1:14" x14ac:dyDescent="0.55000000000000004">
      <c r="A41" t="s">
        <v>15</v>
      </c>
      <c r="B41" s="1">
        <v>41</v>
      </c>
      <c r="C41">
        <v>7</v>
      </c>
      <c r="D41" s="4">
        <v>45174</v>
      </c>
      <c r="E41" s="19">
        <v>1</v>
      </c>
      <c r="F41" s="20">
        <v>18</v>
      </c>
      <c r="G41" s="20">
        <v>41</v>
      </c>
      <c r="H41">
        <v>41</v>
      </c>
      <c r="I41" t="s">
        <v>60</v>
      </c>
      <c r="J41"/>
      <c r="K41" s="6">
        <v>5.5640587733060305E-2</v>
      </c>
      <c r="L41" s="6">
        <v>0.36827699612588827</v>
      </c>
      <c r="M41" s="6">
        <f t="shared" si="1"/>
        <v>0.15108352766633479</v>
      </c>
      <c r="N41" s="12">
        <v>2.7099999999999999E-2</v>
      </c>
    </row>
    <row r="42" spans="1:14" x14ac:dyDescent="0.55000000000000004">
      <c r="A42" t="s">
        <v>15</v>
      </c>
      <c r="B42" s="1">
        <v>42</v>
      </c>
      <c r="C42">
        <v>7</v>
      </c>
      <c r="D42" s="4">
        <v>45174</v>
      </c>
      <c r="E42" s="19">
        <v>1</v>
      </c>
      <c r="F42" s="20">
        <v>16</v>
      </c>
      <c r="G42" s="20">
        <v>56</v>
      </c>
      <c r="H42">
        <v>56</v>
      </c>
      <c r="I42" t="s">
        <v>61</v>
      </c>
      <c r="J42"/>
      <c r="K42" s="6">
        <v>1.1534118518461922E-2</v>
      </c>
      <c r="L42" s="6">
        <v>0.11714588245708181</v>
      </c>
      <c r="M42" s="6">
        <f t="shared" si="1"/>
        <v>9.8459444553568698E-2</v>
      </c>
      <c r="N42" s="12">
        <v>2.3E-2</v>
      </c>
    </row>
    <row r="43" spans="1:14" x14ac:dyDescent="0.55000000000000004">
      <c r="A43" t="s">
        <v>15</v>
      </c>
      <c r="B43" s="1">
        <v>43</v>
      </c>
      <c r="C43">
        <v>8</v>
      </c>
      <c r="D43" s="4">
        <v>45174</v>
      </c>
      <c r="E43" s="19">
        <v>1</v>
      </c>
      <c r="F43" s="20">
        <v>24</v>
      </c>
      <c r="G43" s="20">
        <v>3.3</v>
      </c>
      <c r="H43">
        <v>3.3</v>
      </c>
      <c r="I43" t="s">
        <v>63</v>
      </c>
      <c r="J43"/>
      <c r="K43" s="6">
        <v>0.80052904667192515</v>
      </c>
      <c r="L43" s="6">
        <v>0.54116002162910026</v>
      </c>
      <c r="M43" s="6">
        <f t="shared" si="0"/>
        <v>1.4792834183538246</v>
      </c>
      <c r="N43" s="12">
        <v>2.69E-2</v>
      </c>
    </row>
    <row r="44" spans="1:14" x14ac:dyDescent="0.55000000000000004">
      <c r="A44" t="s">
        <v>15</v>
      </c>
      <c r="B44" s="1">
        <v>44</v>
      </c>
      <c r="C44">
        <v>8</v>
      </c>
      <c r="D44" s="4">
        <v>45174</v>
      </c>
      <c r="E44" s="19">
        <v>1</v>
      </c>
      <c r="F44" s="20">
        <v>22</v>
      </c>
      <c r="G44" s="20">
        <v>9.9</v>
      </c>
      <c r="H44">
        <v>9.9</v>
      </c>
      <c r="I44" t="s">
        <v>64</v>
      </c>
      <c r="J44"/>
      <c r="K44" s="6">
        <v>0.87517644973779585</v>
      </c>
      <c r="L44" s="6">
        <v>0.55066357654468034</v>
      </c>
      <c r="M44" s="6">
        <f t="shared" si="0"/>
        <v>1.5893123987414934</v>
      </c>
      <c r="N44" s="12">
        <v>2.8799999999999999E-2</v>
      </c>
    </row>
    <row r="45" spans="1:14" x14ac:dyDescent="0.55000000000000004">
      <c r="A45" t="s">
        <v>15</v>
      </c>
      <c r="B45" s="1">
        <v>45</v>
      </c>
      <c r="C45">
        <v>8</v>
      </c>
      <c r="D45" s="4">
        <v>45174</v>
      </c>
      <c r="E45" s="19">
        <v>1</v>
      </c>
      <c r="F45" s="20">
        <v>21</v>
      </c>
      <c r="G45" s="20">
        <v>20</v>
      </c>
      <c r="H45">
        <v>20</v>
      </c>
      <c r="I45" t="s">
        <v>65</v>
      </c>
      <c r="J45"/>
      <c r="K45" s="6">
        <v>1.7207513430874015</v>
      </c>
      <c r="L45" s="6">
        <v>0.87267494957528136</v>
      </c>
      <c r="M45" s="6">
        <f t="shared" si="0"/>
        <v>1.9718124645664081</v>
      </c>
      <c r="N45" s="12">
        <v>4.0800000000000003E-2</v>
      </c>
    </row>
    <row r="46" spans="1:14" x14ac:dyDescent="0.55000000000000004">
      <c r="A46" t="s">
        <v>15</v>
      </c>
      <c r="B46" s="1">
        <v>46</v>
      </c>
      <c r="C46">
        <v>8</v>
      </c>
      <c r="D46" s="4">
        <v>45174</v>
      </c>
      <c r="E46" s="19">
        <v>1</v>
      </c>
      <c r="F46" s="20">
        <v>20</v>
      </c>
      <c r="G46" s="20">
        <v>29.9</v>
      </c>
      <c r="H46">
        <v>29.9</v>
      </c>
      <c r="I46" t="s">
        <v>66</v>
      </c>
      <c r="J46"/>
      <c r="K46" s="6">
        <v>2.0373592940219574</v>
      </c>
      <c r="L46" s="6">
        <v>1.0276296476924485</v>
      </c>
      <c r="M46" s="6">
        <f t="shared" si="0"/>
        <v>1.9825812719561622</v>
      </c>
      <c r="N46" s="12">
        <v>3.9300000000000002E-2</v>
      </c>
    </row>
    <row r="47" spans="1:14" x14ac:dyDescent="0.55000000000000004">
      <c r="A47" t="s">
        <v>15</v>
      </c>
      <c r="B47" s="1">
        <v>47</v>
      </c>
      <c r="C47">
        <v>8</v>
      </c>
      <c r="D47" s="4">
        <v>45174</v>
      </c>
      <c r="E47" s="19">
        <v>1</v>
      </c>
      <c r="F47" s="20">
        <v>18</v>
      </c>
      <c r="G47" s="20">
        <v>39.9</v>
      </c>
      <c r="H47">
        <v>39.9</v>
      </c>
      <c r="I47" t="s">
        <v>67</v>
      </c>
      <c r="J47"/>
      <c r="K47" s="6">
        <v>1.0231842316787467</v>
      </c>
      <c r="L47" s="6">
        <v>0.60698742405188821</v>
      </c>
      <c r="M47" s="6">
        <f t="shared" si="0"/>
        <v>1.6856761625283361</v>
      </c>
      <c r="N47" s="12">
        <v>3.1699999999999999E-2</v>
      </c>
    </row>
    <row r="48" spans="1:14" x14ac:dyDescent="0.55000000000000004">
      <c r="A48" t="s">
        <v>15</v>
      </c>
      <c r="B48" s="1">
        <v>48</v>
      </c>
      <c r="C48">
        <v>8</v>
      </c>
      <c r="D48" s="4">
        <v>45174</v>
      </c>
      <c r="E48" s="19">
        <v>1</v>
      </c>
      <c r="F48" s="20">
        <v>17</v>
      </c>
      <c r="G48" s="20">
        <v>55</v>
      </c>
      <c r="H48">
        <v>55</v>
      </c>
      <c r="I48" t="s">
        <v>68</v>
      </c>
      <c r="J48"/>
      <c r="K48" s="6">
        <v>0.34054660088326588</v>
      </c>
      <c r="L48" s="6">
        <v>0.23631644384280043</v>
      </c>
      <c r="M48" s="6">
        <f t="shared" si="0"/>
        <v>1.4410618040181757</v>
      </c>
      <c r="N48" s="12">
        <v>2.4400000000000002E-2</v>
      </c>
    </row>
    <row r="49" spans="1:14" x14ac:dyDescent="0.55000000000000004">
      <c r="A49" t="s">
        <v>15</v>
      </c>
      <c r="C49">
        <v>9</v>
      </c>
      <c r="D49" s="4">
        <v>45174</v>
      </c>
      <c r="E49" s="19">
        <v>1</v>
      </c>
      <c r="F49" s="20">
        <v>24</v>
      </c>
      <c r="G49" s="20">
        <v>2.5</v>
      </c>
      <c r="H49">
        <v>2.5</v>
      </c>
      <c r="I49" t="s">
        <v>69</v>
      </c>
      <c r="J49"/>
      <c r="K49" s="6">
        <v>6.9370603883628243E-2</v>
      </c>
      <c r="L49" s="6">
        <v>3.9323113122690462E-2</v>
      </c>
      <c r="M49" s="6">
        <f t="shared" si="0"/>
        <v>1.7641178018430996</v>
      </c>
      <c r="N49" s="12">
        <v>2.3400000000000001E-2</v>
      </c>
    </row>
    <row r="50" spans="1:14" x14ac:dyDescent="0.55000000000000004">
      <c r="A50" t="s">
        <v>15</v>
      </c>
      <c r="C50">
        <v>9</v>
      </c>
      <c r="D50" s="4">
        <v>45174</v>
      </c>
      <c r="E50" s="19">
        <v>1</v>
      </c>
      <c r="F50" s="20">
        <v>22</v>
      </c>
      <c r="G50" s="20">
        <v>10</v>
      </c>
      <c r="H50">
        <v>10</v>
      </c>
      <c r="I50" t="s">
        <v>70</v>
      </c>
      <c r="J50"/>
      <c r="K50" s="6">
        <v>0.10811003202643359</v>
      </c>
      <c r="L50" s="6">
        <v>8.4908777307761626E-2</v>
      </c>
      <c r="M50" s="6">
        <f t="shared" si="0"/>
        <v>1.2732491911239794</v>
      </c>
      <c r="N50" s="12">
        <v>2.3400000000000001E-2</v>
      </c>
    </row>
    <row r="51" spans="1:14" x14ac:dyDescent="0.55000000000000004">
      <c r="A51" t="s">
        <v>15</v>
      </c>
      <c r="C51">
        <v>9</v>
      </c>
      <c r="D51" s="4">
        <v>45174</v>
      </c>
      <c r="E51" s="19">
        <v>1</v>
      </c>
      <c r="F51" s="20">
        <v>20</v>
      </c>
      <c r="G51" s="20">
        <v>20.3</v>
      </c>
      <c r="H51">
        <v>20.3</v>
      </c>
      <c r="I51" t="s">
        <v>71</v>
      </c>
      <c r="J51"/>
      <c r="K51" s="6">
        <v>0.30116366064506511</v>
      </c>
      <c r="L51" s="6">
        <v>0.21154255164889099</v>
      </c>
      <c r="M51" s="6">
        <f t="shared" si="0"/>
        <v>1.4236552329430312</v>
      </c>
      <c r="N51" s="12">
        <v>5.11E-2</v>
      </c>
    </row>
    <row r="52" spans="1:14" x14ac:dyDescent="0.55000000000000004">
      <c r="A52" t="s">
        <v>15</v>
      </c>
      <c r="C52">
        <v>9</v>
      </c>
      <c r="D52" s="4">
        <v>45174</v>
      </c>
      <c r="E52" s="19">
        <v>1</v>
      </c>
      <c r="F52" s="20">
        <v>19</v>
      </c>
      <c r="G52" s="20">
        <v>30.1</v>
      </c>
      <c r="H52">
        <v>30.1</v>
      </c>
      <c r="I52" t="s">
        <v>72</v>
      </c>
      <c r="J52"/>
      <c r="K52" s="6">
        <v>0.18533148347388617</v>
      </c>
      <c r="L52" s="6">
        <v>0.15848327065264906</v>
      </c>
      <c r="M52" s="6">
        <f t="shared" si="0"/>
        <v>1.1694072359225907</v>
      </c>
      <c r="N52" s="12">
        <v>3.6299999999999999E-2</v>
      </c>
    </row>
    <row r="53" spans="1:14" x14ac:dyDescent="0.55000000000000004">
      <c r="A53" t="s">
        <v>15</v>
      </c>
      <c r="C53">
        <v>9</v>
      </c>
      <c r="D53" s="4">
        <v>45174</v>
      </c>
      <c r="E53" s="19">
        <v>1</v>
      </c>
      <c r="F53" s="20">
        <v>17</v>
      </c>
      <c r="G53" s="20">
        <v>40.1</v>
      </c>
      <c r="H53">
        <v>40.1</v>
      </c>
      <c r="I53" t="s">
        <v>73</v>
      </c>
      <c r="J53"/>
      <c r="K53" s="6">
        <v>0.1196932497435515</v>
      </c>
      <c r="L53" s="6">
        <v>0.10951658634080534</v>
      </c>
      <c r="M53" s="6">
        <f t="shared" si="0"/>
        <v>1.0929234898819558</v>
      </c>
      <c r="N53" s="12">
        <v>3.4500000000000003E-2</v>
      </c>
    </row>
    <row r="54" spans="1:14" x14ac:dyDescent="0.55000000000000004">
      <c r="A54" t="s">
        <v>15</v>
      </c>
      <c r="C54">
        <v>9</v>
      </c>
      <c r="D54" s="4">
        <v>45174</v>
      </c>
      <c r="E54" s="19">
        <v>1</v>
      </c>
      <c r="F54" s="20">
        <v>16</v>
      </c>
      <c r="G54" s="20">
        <v>54.9</v>
      </c>
      <c r="H54">
        <v>54.9</v>
      </c>
      <c r="I54" t="s">
        <v>74</v>
      </c>
      <c r="J54"/>
      <c r="K54" s="6">
        <v>1.994887495725858E-2</v>
      </c>
      <c r="L54" s="6">
        <v>1.7207245839573997E-2</v>
      </c>
      <c r="M54" s="6">
        <f t="shared" si="0"/>
        <v>1.1593299208510905</v>
      </c>
      <c r="N54" s="12">
        <v>2.3199999999999998E-2</v>
      </c>
    </row>
    <row r="55" spans="1:14" x14ac:dyDescent="0.55000000000000004">
      <c r="A55" t="s">
        <v>15</v>
      </c>
      <c r="B55" s="1">
        <v>49</v>
      </c>
      <c r="C55">
        <v>10</v>
      </c>
      <c r="D55" s="4">
        <v>45174</v>
      </c>
      <c r="E55" s="19">
        <v>1</v>
      </c>
      <c r="F55" s="20">
        <v>22</v>
      </c>
      <c r="G55" s="20">
        <v>10.1</v>
      </c>
      <c r="H55" s="23">
        <v>54.9</v>
      </c>
      <c r="I55" t="s">
        <v>75</v>
      </c>
      <c r="J55"/>
      <c r="K55" s="6">
        <v>1.2213859570605416</v>
      </c>
      <c r="L55" s="6">
        <v>0.74969624175010208</v>
      </c>
      <c r="M55" s="6">
        <f t="shared" si="0"/>
        <v>1.6291744429841613</v>
      </c>
      <c r="N55" s="12">
        <v>2.6700000000000002E-2</v>
      </c>
    </row>
    <row r="56" spans="1:14" x14ac:dyDescent="0.55000000000000004">
      <c r="A56" t="s">
        <v>15</v>
      </c>
      <c r="B56" s="1">
        <v>50</v>
      </c>
      <c r="C56">
        <v>10</v>
      </c>
      <c r="D56" s="4">
        <v>45174</v>
      </c>
      <c r="E56" s="19">
        <v>1</v>
      </c>
      <c r="F56" s="20">
        <v>22</v>
      </c>
      <c r="G56" s="20">
        <v>19.899999999999999</v>
      </c>
      <c r="H56">
        <v>19.899999999999999</v>
      </c>
      <c r="I56" t="s">
        <v>76</v>
      </c>
      <c r="J56"/>
      <c r="K56" s="6">
        <v>2.3552542691473035</v>
      </c>
      <c r="L56" s="6">
        <v>1.2695234666424555</v>
      </c>
      <c r="M56" s="6">
        <f t="shared" si="0"/>
        <v>1.8552270446613413</v>
      </c>
      <c r="N56" s="12">
        <v>4.4600000000000001E-2</v>
      </c>
    </row>
    <row r="57" spans="1:14" x14ac:dyDescent="0.55000000000000004">
      <c r="A57" t="s">
        <v>15</v>
      </c>
      <c r="B57" s="1">
        <v>51</v>
      </c>
      <c r="C57">
        <v>10</v>
      </c>
      <c r="D57" s="4">
        <v>45174</v>
      </c>
      <c r="E57" s="19">
        <v>1</v>
      </c>
      <c r="F57" s="20">
        <v>20</v>
      </c>
      <c r="G57" s="20">
        <v>29.9</v>
      </c>
      <c r="H57">
        <v>29.9</v>
      </c>
      <c r="I57" t="s">
        <v>77</v>
      </c>
      <c r="J57"/>
      <c r="K57" s="6">
        <v>1.7567880204295461</v>
      </c>
      <c r="L57" s="6">
        <v>0.77359846038348934</v>
      </c>
      <c r="M57" s="6">
        <f t="shared" si="0"/>
        <v>2.2709300889232233</v>
      </c>
      <c r="N57" s="12">
        <v>4.2700000000000002E-2</v>
      </c>
    </row>
    <row r="58" spans="1:14" x14ac:dyDescent="0.55000000000000004">
      <c r="A58" t="s">
        <v>15</v>
      </c>
      <c r="B58" s="1">
        <v>52</v>
      </c>
      <c r="C58">
        <v>10</v>
      </c>
      <c r="D58" s="4">
        <v>45174</v>
      </c>
      <c r="E58" s="19">
        <v>1</v>
      </c>
      <c r="F58" s="20">
        <v>18</v>
      </c>
      <c r="G58" s="20">
        <v>40.1</v>
      </c>
      <c r="H58">
        <v>40.1</v>
      </c>
      <c r="I58" t="s">
        <v>78</v>
      </c>
      <c r="J58"/>
      <c r="K58" s="6">
        <v>1.5315587870411429</v>
      </c>
      <c r="L58" s="6">
        <v>0.74741987412097477</v>
      </c>
      <c r="M58" s="6">
        <f t="shared" si="0"/>
        <v>2.0491277260219736</v>
      </c>
      <c r="N58" s="12">
        <v>3.7100000000000001E-2</v>
      </c>
    </row>
    <row r="59" spans="1:14" x14ac:dyDescent="0.55000000000000004">
      <c r="A59" t="s">
        <v>15</v>
      </c>
      <c r="B59" s="1">
        <v>53</v>
      </c>
      <c r="C59">
        <v>10</v>
      </c>
      <c r="D59" s="4">
        <v>45174</v>
      </c>
      <c r="E59" s="19">
        <v>1</v>
      </c>
      <c r="F59" s="20">
        <v>17</v>
      </c>
      <c r="G59" s="20">
        <v>54.9</v>
      </c>
      <c r="H59">
        <v>54.9</v>
      </c>
      <c r="I59" s="2" t="s">
        <v>79</v>
      </c>
      <c r="J59"/>
      <c r="K59" s="6">
        <v>0.17606490930019186</v>
      </c>
      <c r="L59" s="6">
        <v>9.0171539146475022E-2</v>
      </c>
      <c r="M59" s="6">
        <f t="shared" si="0"/>
        <v>1.9525552182733767</v>
      </c>
      <c r="N59" s="12">
        <v>2.2700000000000001E-2</v>
      </c>
    </row>
    <row r="60" spans="1:14" x14ac:dyDescent="0.55000000000000004">
      <c r="A60" t="s">
        <v>15</v>
      </c>
      <c r="B60" s="1">
        <v>54</v>
      </c>
      <c r="C60">
        <v>11</v>
      </c>
      <c r="D60" s="4">
        <v>45175</v>
      </c>
      <c r="E60" s="19">
        <v>1</v>
      </c>
      <c r="F60" s="20">
        <v>24</v>
      </c>
      <c r="G60" s="20">
        <v>2.7</v>
      </c>
      <c r="H60">
        <v>2.7</v>
      </c>
      <c r="I60" t="s">
        <v>80</v>
      </c>
      <c r="J60"/>
      <c r="K60" s="6">
        <v>1.0180361349155831</v>
      </c>
      <c r="L60" s="6">
        <v>0.72971428847262909</v>
      </c>
      <c r="M60" s="6">
        <f t="shared" si="0"/>
        <v>1.39511607624738</v>
      </c>
      <c r="N60" s="12">
        <v>2.7E-2</v>
      </c>
    </row>
    <row r="61" spans="1:14" x14ac:dyDescent="0.55000000000000004">
      <c r="A61" t="s">
        <v>15</v>
      </c>
      <c r="B61" s="1">
        <v>55</v>
      </c>
      <c r="C61">
        <v>11</v>
      </c>
      <c r="D61" s="4">
        <v>45175</v>
      </c>
      <c r="E61" s="19">
        <v>1</v>
      </c>
      <c r="F61" s="20">
        <v>22</v>
      </c>
      <c r="G61" s="20">
        <v>10.199999999999999</v>
      </c>
      <c r="H61">
        <v>10.199999999999999</v>
      </c>
      <c r="I61" t="s">
        <v>81</v>
      </c>
      <c r="J61"/>
      <c r="K61" s="6">
        <v>2.2278388742590067</v>
      </c>
      <c r="L61" s="6">
        <v>1.2880785463131439</v>
      </c>
      <c r="M61" s="6">
        <f t="shared" si="0"/>
        <v>1.7295830915247605</v>
      </c>
      <c r="N61" s="12">
        <v>2.6800000000000001E-2</v>
      </c>
    </row>
    <row r="62" spans="1:14" x14ac:dyDescent="0.55000000000000004">
      <c r="A62" t="s">
        <v>15</v>
      </c>
      <c r="B62" s="1">
        <v>56</v>
      </c>
      <c r="C62">
        <v>11</v>
      </c>
      <c r="D62" s="4">
        <v>45175</v>
      </c>
      <c r="E62" s="19">
        <v>1</v>
      </c>
      <c r="F62" s="20">
        <v>21</v>
      </c>
      <c r="G62" s="20">
        <v>20.100000000000001</v>
      </c>
      <c r="H62">
        <v>20.100000000000001</v>
      </c>
      <c r="I62" t="s">
        <v>82</v>
      </c>
      <c r="J62"/>
      <c r="K62" s="6">
        <v>2.4196054786868473</v>
      </c>
      <c r="L62" s="6">
        <v>1.2011742447647402</v>
      </c>
      <c r="M62" s="6">
        <f t="shared" si="0"/>
        <v>2.0143667658814537</v>
      </c>
      <c r="N62" s="12">
        <v>4.5400000000000003E-2</v>
      </c>
    </row>
    <row r="63" spans="1:14" x14ac:dyDescent="0.55000000000000004">
      <c r="A63" t="s">
        <v>15</v>
      </c>
      <c r="B63" s="1">
        <v>57</v>
      </c>
      <c r="C63">
        <v>11</v>
      </c>
      <c r="D63" s="4">
        <v>45175</v>
      </c>
      <c r="E63" s="19">
        <v>1</v>
      </c>
      <c r="F63" s="20">
        <v>20</v>
      </c>
      <c r="G63" s="20">
        <v>30.2</v>
      </c>
      <c r="H63">
        <v>30.2</v>
      </c>
      <c r="I63" t="s">
        <v>83</v>
      </c>
      <c r="J63"/>
      <c r="K63" s="6">
        <v>2.2909030596077598</v>
      </c>
      <c r="L63" s="6">
        <v>0.855325665184683</v>
      </c>
      <c r="M63" s="6">
        <f t="shared" si="0"/>
        <v>2.6783985946605555</v>
      </c>
      <c r="N63" s="12">
        <v>4.4200000000000003E-2</v>
      </c>
    </row>
    <row r="64" spans="1:14" x14ac:dyDescent="0.55000000000000004">
      <c r="A64" t="s">
        <v>15</v>
      </c>
      <c r="B64" s="1">
        <v>58</v>
      </c>
      <c r="C64">
        <v>11</v>
      </c>
      <c r="D64" s="4">
        <v>45175</v>
      </c>
      <c r="E64" s="19">
        <v>1</v>
      </c>
      <c r="F64" s="20">
        <v>18</v>
      </c>
      <c r="G64" s="20">
        <v>40.5</v>
      </c>
      <c r="H64">
        <v>40.5</v>
      </c>
      <c r="I64" t="s">
        <v>84</v>
      </c>
      <c r="J64"/>
      <c r="K64" s="6">
        <v>1.4002823195804734</v>
      </c>
      <c r="L64" s="6">
        <v>0.69817640062733821</v>
      </c>
      <c r="M64" s="6">
        <f t="shared" si="0"/>
        <v>2.0056282600246389</v>
      </c>
      <c r="N64" s="12">
        <v>3.3700000000000001E-2</v>
      </c>
    </row>
    <row r="65" spans="1:14" x14ac:dyDescent="0.55000000000000004">
      <c r="A65" t="s">
        <v>15</v>
      </c>
      <c r="B65" s="1">
        <v>59</v>
      </c>
      <c r="C65">
        <v>11</v>
      </c>
      <c r="D65" s="4">
        <v>45175</v>
      </c>
      <c r="E65" s="19">
        <v>1</v>
      </c>
      <c r="F65" s="20">
        <v>16</v>
      </c>
      <c r="G65" s="20">
        <v>55.6</v>
      </c>
      <c r="H65">
        <v>55.6</v>
      </c>
      <c r="I65" t="s">
        <v>85</v>
      </c>
      <c r="J65"/>
      <c r="K65" s="6">
        <v>0.27027508006608408</v>
      </c>
      <c r="L65" s="6">
        <v>0.1351619135321474</v>
      </c>
      <c r="M65" s="6">
        <f t="shared" si="0"/>
        <v>1.9996393436809465</v>
      </c>
      <c r="N65" s="12">
        <v>2.3199999999999998E-2</v>
      </c>
    </row>
    <row r="66" spans="1:14" x14ac:dyDescent="0.55000000000000004">
      <c r="A66" t="s">
        <v>15</v>
      </c>
      <c r="B66" s="1">
        <v>60</v>
      </c>
      <c r="C66">
        <v>12</v>
      </c>
      <c r="D66" s="5">
        <v>45176</v>
      </c>
      <c r="E66" s="19">
        <v>1</v>
      </c>
      <c r="F66" s="20">
        <v>24</v>
      </c>
      <c r="G66" s="20">
        <v>4.2</v>
      </c>
      <c r="H66">
        <v>4.2</v>
      </c>
      <c r="I66" t="s">
        <v>86</v>
      </c>
      <c r="J66"/>
      <c r="K66" s="6">
        <v>0.84171382077723322</v>
      </c>
      <c r="L66" s="6">
        <v>0.6390440709763282</v>
      </c>
      <c r="M66" s="6">
        <f t="shared" si="0"/>
        <v>1.3171451845117148</v>
      </c>
      <c r="N66" s="12">
        <v>2.46E-2</v>
      </c>
    </row>
    <row r="67" spans="1:14" x14ac:dyDescent="0.55000000000000004">
      <c r="A67" t="s">
        <v>15</v>
      </c>
      <c r="B67" s="1">
        <v>61</v>
      </c>
      <c r="C67">
        <v>12</v>
      </c>
      <c r="D67" s="5">
        <v>45176</v>
      </c>
      <c r="E67" s="19">
        <v>1</v>
      </c>
      <c r="F67" s="20">
        <v>23</v>
      </c>
      <c r="G67" s="20">
        <v>10</v>
      </c>
      <c r="H67">
        <v>10</v>
      </c>
      <c r="I67" t="s">
        <v>87</v>
      </c>
      <c r="J67"/>
      <c r="K67" s="6">
        <v>0.87388942554700511</v>
      </c>
      <c r="L67" s="6">
        <v>0.6688069406294227</v>
      </c>
      <c r="M67" s="6">
        <f t="shared" ref="M67:M130" si="2">K67/L67</f>
        <v>1.3066392892462759</v>
      </c>
      <c r="N67" s="12">
        <v>2.47E-2</v>
      </c>
    </row>
    <row r="68" spans="1:14" x14ac:dyDescent="0.55000000000000004">
      <c r="A68" t="s">
        <v>15</v>
      </c>
      <c r="B68" s="1">
        <v>62</v>
      </c>
      <c r="C68">
        <v>12</v>
      </c>
      <c r="D68" s="5">
        <v>45176</v>
      </c>
      <c r="E68" s="19">
        <v>1</v>
      </c>
      <c r="F68" s="20">
        <v>22</v>
      </c>
      <c r="G68" s="20">
        <v>20.5</v>
      </c>
      <c r="H68">
        <v>20.5</v>
      </c>
      <c r="I68" t="s">
        <v>88</v>
      </c>
      <c r="J68"/>
      <c r="K68" s="6">
        <v>2.6190942282594332</v>
      </c>
      <c r="L68" s="6">
        <v>1.8892418554645076</v>
      </c>
      <c r="M68" s="6">
        <f t="shared" si="2"/>
        <v>1.3863202430561634</v>
      </c>
      <c r="N68" s="12">
        <v>3.7900000000000003E-2</v>
      </c>
    </row>
    <row r="69" spans="1:14" x14ac:dyDescent="0.55000000000000004">
      <c r="A69" t="s">
        <v>15</v>
      </c>
      <c r="B69" s="1">
        <v>63</v>
      </c>
      <c r="C69">
        <v>12</v>
      </c>
      <c r="D69" s="5">
        <v>45176</v>
      </c>
      <c r="E69" s="19">
        <v>1</v>
      </c>
      <c r="F69" s="20">
        <v>21</v>
      </c>
      <c r="G69" s="20">
        <v>30.3</v>
      </c>
      <c r="H69">
        <v>30.3</v>
      </c>
      <c r="I69" t="s">
        <v>89</v>
      </c>
      <c r="J69"/>
      <c r="K69" s="6">
        <v>8.6230620782988705</v>
      </c>
      <c r="L69" s="6">
        <v>6.1379449081211082</v>
      </c>
      <c r="M69" s="6">
        <f t="shared" si="2"/>
        <v>1.4048777249352151</v>
      </c>
      <c r="N69" s="14">
        <v>9.0999999999999998E-2</v>
      </c>
    </row>
    <row r="70" spans="1:14" x14ac:dyDescent="0.55000000000000004">
      <c r="A70" t="s">
        <v>15</v>
      </c>
      <c r="B70" s="1">
        <v>64</v>
      </c>
      <c r="C70">
        <v>12</v>
      </c>
      <c r="D70" s="5">
        <v>45176</v>
      </c>
      <c r="E70" s="19">
        <v>1</v>
      </c>
      <c r="F70" s="20">
        <v>14</v>
      </c>
      <c r="G70" s="20">
        <v>40.299999999999997</v>
      </c>
      <c r="H70">
        <v>40.299999999999997</v>
      </c>
      <c r="I70" t="s">
        <v>90</v>
      </c>
      <c r="J70"/>
      <c r="K70" s="6">
        <v>5.5728147461244948</v>
      </c>
      <c r="L70" s="6">
        <v>3.8356454621167373</v>
      </c>
      <c r="M70" s="6">
        <f t="shared" si="2"/>
        <v>1.4529014219810306</v>
      </c>
      <c r="N70" s="12">
        <v>3.8100000000000002E-2</v>
      </c>
    </row>
    <row r="71" spans="1:14" x14ac:dyDescent="0.55000000000000004">
      <c r="A71" t="s">
        <v>15</v>
      </c>
      <c r="B71" s="1">
        <v>65</v>
      </c>
      <c r="C71">
        <v>12</v>
      </c>
      <c r="D71" s="5">
        <v>45176</v>
      </c>
      <c r="E71" s="19">
        <v>1</v>
      </c>
      <c r="F71" s="20">
        <v>13</v>
      </c>
      <c r="G71" s="20">
        <v>55.6</v>
      </c>
      <c r="H71">
        <v>55.6</v>
      </c>
      <c r="I71" t="s">
        <v>91</v>
      </c>
      <c r="J71"/>
      <c r="K71" s="6">
        <v>0.95625897375762103</v>
      </c>
      <c r="L71" s="6">
        <v>0.8018439262902648</v>
      </c>
      <c r="M71" s="6">
        <f t="shared" si="2"/>
        <v>1.1925749418365719</v>
      </c>
      <c r="N71" s="12">
        <v>2.46E-2</v>
      </c>
    </row>
    <row r="72" spans="1:14" x14ac:dyDescent="0.55000000000000004">
      <c r="A72" t="s">
        <v>15</v>
      </c>
      <c r="B72" s="1">
        <v>66</v>
      </c>
      <c r="C72">
        <v>13</v>
      </c>
      <c r="D72" s="5">
        <v>45176</v>
      </c>
      <c r="E72" s="19">
        <v>1</v>
      </c>
      <c r="F72" s="20">
        <v>24</v>
      </c>
      <c r="G72" s="20">
        <v>2.8</v>
      </c>
      <c r="H72">
        <v>2.8</v>
      </c>
      <c r="I72" t="s">
        <v>92</v>
      </c>
      <c r="J72"/>
      <c r="K72" s="6">
        <v>9.3195677629172316E-2</v>
      </c>
      <c r="L72" s="6">
        <v>0.56058174668205796</v>
      </c>
      <c r="M72" s="6">
        <f t="shared" si="2"/>
        <v>0.16624814878610308</v>
      </c>
      <c r="N72" s="12">
        <v>2.3199999999999998E-2</v>
      </c>
    </row>
    <row r="73" spans="1:14" x14ac:dyDescent="0.55000000000000004">
      <c r="A73" t="s">
        <v>15</v>
      </c>
      <c r="B73" s="1">
        <v>67</v>
      </c>
      <c r="C73">
        <v>13</v>
      </c>
      <c r="D73" s="5">
        <v>45176</v>
      </c>
      <c r="E73" s="19">
        <v>1</v>
      </c>
      <c r="F73" s="20">
        <v>22</v>
      </c>
      <c r="G73" s="20">
        <v>10.1</v>
      </c>
      <c r="H73">
        <v>10</v>
      </c>
      <c r="I73" t="s">
        <v>93</v>
      </c>
      <c r="J73"/>
      <c r="K73" s="6">
        <v>0.13933215170301999</v>
      </c>
      <c r="L73" s="6">
        <v>1.0385049540005455</v>
      </c>
      <c r="M73" s="6">
        <f t="shared" si="2"/>
        <v>0.13416609248350952</v>
      </c>
      <c r="N73" s="12">
        <v>2.7099999999999999E-2</v>
      </c>
    </row>
    <row r="74" spans="1:14" x14ac:dyDescent="0.55000000000000004">
      <c r="A74" t="s">
        <v>15</v>
      </c>
      <c r="B74" s="1">
        <v>68</v>
      </c>
      <c r="C74">
        <v>13</v>
      </c>
      <c r="D74" s="5">
        <v>45176</v>
      </c>
      <c r="E74" s="19">
        <v>1</v>
      </c>
      <c r="F74" s="20">
        <v>21</v>
      </c>
      <c r="G74" s="20">
        <v>20.100000000000001</v>
      </c>
      <c r="H74">
        <v>20.100000000000001</v>
      </c>
      <c r="I74" t="s">
        <v>94</v>
      </c>
      <c r="J74"/>
      <c r="K74" s="6">
        <v>0.30116366064506495</v>
      </c>
      <c r="L74" s="6">
        <v>0.21395528676556849</v>
      </c>
      <c r="M74" s="6">
        <f t="shared" si="2"/>
        <v>1.4076009300721368</v>
      </c>
      <c r="N74" s="12">
        <v>5.0299999999999997E-2</v>
      </c>
    </row>
    <row r="75" spans="1:14" x14ac:dyDescent="0.55000000000000004">
      <c r="A75" t="s">
        <v>15</v>
      </c>
      <c r="B75" s="1">
        <v>69</v>
      </c>
      <c r="C75">
        <v>13</v>
      </c>
      <c r="D75" s="5">
        <v>45176</v>
      </c>
      <c r="E75" s="19">
        <v>1</v>
      </c>
      <c r="F75" s="20">
        <v>20</v>
      </c>
      <c r="G75" s="20">
        <v>30</v>
      </c>
      <c r="H75">
        <v>30</v>
      </c>
      <c r="I75" t="s">
        <v>95</v>
      </c>
      <c r="J75"/>
      <c r="K75" s="6">
        <v>0.23423840272393942</v>
      </c>
      <c r="L75" s="6">
        <v>0.26278503131161324</v>
      </c>
      <c r="M75" s="6">
        <f t="shared" si="2"/>
        <v>0.89136889401503649</v>
      </c>
      <c r="N75" s="12">
        <v>4.4200000000000003E-2</v>
      </c>
    </row>
    <row r="76" spans="1:14" x14ac:dyDescent="0.55000000000000004">
      <c r="A76" t="s">
        <v>15</v>
      </c>
      <c r="B76" s="1">
        <v>70</v>
      </c>
      <c r="C76">
        <v>13</v>
      </c>
      <c r="D76" s="5">
        <v>45176</v>
      </c>
      <c r="E76" s="19">
        <v>1</v>
      </c>
      <c r="F76" s="20">
        <v>18</v>
      </c>
      <c r="G76" s="20">
        <v>40</v>
      </c>
      <c r="H76">
        <v>40</v>
      </c>
      <c r="I76" t="s">
        <v>96</v>
      </c>
      <c r="J76"/>
      <c r="K76" s="6">
        <v>0.14028563679620551</v>
      </c>
      <c r="L76" s="6">
        <v>0.10460697754655467</v>
      </c>
      <c r="M76" s="6">
        <f t="shared" si="2"/>
        <v>1.3410734167687073</v>
      </c>
      <c r="N76" s="12">
        <v>3.1899999999999998E-2</v>
      </c>
    </row>
    <row r="77" spans="1:14" x14ac:dyDescent="0.55000000000000004">
      <c r="A77" t="s">
        <v>15</v>
      </c>
      <c r="B77" s="1">
        <v>71</v>
      </c>
      <c r="C77">
        <v>13</v>
      </c>
      <c r="D77" s="5">
        <v>45176</v>
      </c>
      <c r="E77" s="19">
        <v>1</v>
      </c>
      <c r="F77" s="20">
        <v>16</v>
      </c>
      <c r="G77" s="20">
        <v>54.9</v>
      </c>
      <c r="H77">
        <v>54.9</v>
      </c>
      <c r="I77" t="s">
        <v>97</v>
      </c>
      <c r="J77"/>
      <c r="K77" s="6">
        <v>6.8727091788232789E-2</v>
      </c>
      <c r="L77" s="6">
        <v>3.8157073880577819E-2</v>
      </c>
      <c r="M77" s="6">
        <f t="shared" si="2"/>
        <v>1.8011625315749198</v>
      </c>
      <c r="N77" s="12">
        <v>2.4500000000000001E-2</v>
      </c>
    </row>
    <row r="78" spans="1:14" x14ac:dyDescent="0.55000000000000004">
      <c r="A78" t="s">
        <v>15</v>
      </c>
      <c r="B78" s="1">
        <v>72</v>
      </c>
      <c r="C78">
        <v>15</v>
      </c>
      <c r="D78" s="5">
        <v>45177</v>
      </c>
      <c r="E78" s="19">
        <v>1</v>
      </c>
      <c r="F78" s="20">
        <v>24</v>
      </c>
      <c r="G78" s="20">
        <v>2</v>
      </c>
      <c r="H78">
        <v>2</v>
      </c>
      <c r="I78" t="s">
        <v>104</v>
      </c>
      <c r="J78"/>
      <c r="K78" s="6">
        <v>0.24453459625026649</v>
      </c>
      <c r="L78" s="6">
        <v>2.6898104375945555E-2</v>
      </c>
      <c r="M78" s="6">
        <f t="shared" si="2"/>
        <v>9.0911460834745288</v>
      </c>
      <c r="N78" s="12"/>
    </row>
    <row r="79" spans="1:14" x14ac:dyDescent="0.55000000000000004">
      <c r="A79" t="s">
        <v>15</v>
      </c>
      <c r="B79" s="1">
        <v>73</v>
      </c>
      <c r="C79">
        <v>15</v>
      </c>
      <c r="D79" s="5">
        <v>45177</v>
      </c>
      <c r="E79" s="19">
        <v>1</v>
      </c>
      <c r="F79" s="20">
        <v>22</v>
      </c>
      <c r="G79" s="20">
        <v>9.5</v>
      </c>
      <c r="H79">
        <v>9.5</v>
      </c>
      <c r="I79" t="s">
        <v>105</v>
      </c>
      <c r="J79"/>
      <c r="K79" s="6">
        <v>0.46332870868471548</v>
      </c>
      <c r="L79" s="6">
        <v>0.10125130861780542</v>
      </c>
      <c r="M79" s="6">
        <f t="shared" si="2"/>
        <v>4.5760268682911365</v>
      </c>
      <c r="N79" s="12">
        <v>3.1800000000000002E-2</v>
      </c>
    </row>
    <row r="80" spans="1:14" x14ac:dyDescent="0.55000000000000004">
      <c r="A80" t="s">
        <v>15</v>
      </c>
      <c r="B80" s="1">
        <v>74</v>
      </c>
      <c r="C80">
        <v>15</v>
      </c>
      <c r="D80" s="5">
        <v>45177</v>
      </c>
      <c r="E80" s="19">
        <v>1</v>
      </c>
      <c r="F80" s="20">
        <v>21</v>
      </c>
      <c r="G80" s="20">
        <v>20</v>
      </c>
      <c r="H80">
        <v>20</v>
      </c>
      <c r="I80" t="s">
        <v>106</v>
      </c>
      <c r="J80"/>
      <c r="K80" s="6">
        <v>1.6473909642123221E-2</v>
      </c>
      <c r="L80" s="6">
        <v>4.7101660682327316E-2</v>
      </c>
      <c r="M80" s="6">
        <f t="shared" si="2"/>
        <v>0.34975220413628177</v>
      </c>
      <c r="N80" s="12">
        <v>5.1999999999999998E-2</v>
      </c>
    </row>
    <row r="81" spans="1:14" x14ac:dyDescent="0.55000000000000004">
      <c r="A81" t="s">
        <v>15</v>
      </c>
      <c r="B81" s="1">
        <v>75</v>
      </c>
      <c r="C81">
        <v>15</v>
      </c>
      <c r="D81" s="5">
        <v>45177</v>
      </c>
      <c r="E81" s="19">
        <v>1</v>
      </c>
      <c r="F81" s="20">
        <v>20</v>
      </c>
      <c r="G81" s="20">
        <v>29</v>
      </c>
      <c r="H81">
        <v>29</v>
      </c>
      <c r="I81" t="s">
        <v>107</v>
      </c>
      <c r="J81"/>
      <c r="K81" s="6">
        <v>0.44016227325047963</v>
      </c>
      <c r="L81" s="6">
        <v>0.31502381826955911</v>
      </c>
      <c r="M81" s="6">
        <f t="shared" si="2"/>
        <v>1.3972349001047351</v>
      </c>
      <c r="N81" s="14">
        <v>8.5300000000000001E-2</v>
      </c>
    </row>
    <row r="82" spans="1:14" x14ac:dyDescent="0.55000000000000004">
      <c r="A82" t="s">
        <v>15</v>
      </c>
      <c r="B82" s="1">
        <v>76</v>
      </c>
      <c r="C82">
        <v>15</v>
      </c>
      <c r="D82" s="5">
        <v>45177</v>
      </c>
      <c r="E82" s="19">
        <v>1</v>
      </c>
      <c r="F82" s="20">
        <v>19</v>
      </c>
      <c r="G82" s="20">
        <v>40</v>
      </c>
      <c r="H82">
        <v>40</v>
      </c>
      <c r="I82" t="s">
        <v>108</v>
      </c>
      <c r="J82"/>
      <c r="K82" s="6">
        <v>0.1686001689936048</v>
      </c>
      <c r="L82" s="6">
        <v>0.18004005536628528</v>
      </c>
      <c r="M82" s="6">
        <f t="shared" si="2"/>
        <v>0.93645921542622046</v>
      </c>
      <c r="N82" s="12">
        <v>4.5999999999999999E-2</v>
      </c>
    </row>
    <row r="83" spans="1:14" x14ac:dyDescent="0.55000000000000004">
      <c r="A83" t="s">
        <v>15</v>
      </c>
      <c r="B83" s="1">
        <v>77</v>
      </c>
      <c r="C83">
        <v>15</v>
      </c>
      <c r="D83" s="5">
        <v>45177</v>
      </c>
      <c r="E83" s="19">
        <v>1</v>
      </c>
      <c r="F83" s="20">
        <v>18</v>
      </c>
      <c r="G83" s="20">
        <v>54.8</v>
      </c>
      <c r="H83">
        <v>54.8</v>
      </c>
      <c r="I83" t="s">
        <v>109</v>
      </c>
      <c r="J83"/>
      <c r="K83" s="6">
        <v>0.10553598364485185</v>
      </c>
      <c r="L83" s="6">
        <v>5.9736371847552781E-2</v>
      </c>
      <c r="M83" s="6">
        <f t="shared" si="2"/>
        <v>1.7666955722416433</v>
      </c>
      <c r="N83" s="12">
        <v>2.8500000000000001E-2</v>
      </c>
    </row>
    <row r="84" spans="1:14" x14ac:dyDescent="0.55000000000000004">
      <c r="A84" t="s">
        <v>15</v>
      </c>
      <c r="B84" s="1">
        <v>78</v>
      </c>
      <c r="C84">
        <v>14</v>
      </c>
      <c r="D84" s="5">
        <v>45177</v>
      </c>
      <c r="E84" s="19">
        <v>1</v>
      </c>
      <c r="F84" s="20">
        <v>15</v>
      </c>
      <c r="G84" s="20">
        <v>2.8</v>
      </c>
      <c r="H84">
        <v>2.8</v>
      </c>
      <c r="I84" t="s">
        <v>98</v>
      </c>
      <c r="J84"/>
      <c r="K84" s="6">
        <v>0.42857905553336179</v>
      </c>
      <c r="L84" s="6">
        <v>4.7936130010432676E-2</v>
      </c>
      <c r="M84" s="6">
        <f t="shared" si="2"/>
        <v>8.9406269433950367</v>
      </c>
      <c r="N84" s="12">
        <v>3.2099999999999997E-2</v>
      </c>
    </row>
    <row r="85" spans="1:14" x14ac:dyDescent="0.55000000000000004">
      <c r="A85" t="s">
        <v>15</v>
      </c>
      <c r="B85" s="1">
        <v>79</v>
      </c>
      <c r="C85">
        <v>14</v>
      </c>
      <c r="D85" s="5">
        <v>45177</v>
      </c>
      <c r="E85" s="19">
        <v>1</v>
      </c>
      <c r="F85" s="20">
        <v>14</v>
      </c>
      <c r="G85" s="20">
        <v>10</v>
      </c>
      <c r="H85">
        <v>10</v>
      </c>
      <c r="I85" t="s">
        <v>99</v>
      </c>
      <c r="J85"/>
      <c r="K85" s="6">
        <v>0.38996832980963558</v>
      </c>
      <c r="L85" s="6">
        <v>6.7244974800739293E-2</v>
      </c>
      <c r="M85" s="6">
        <f t="shared" si="2"/>
        <v>5.7992189150965112</v>
      </c>
      <c r="N85" s="12">
        <v>4.2500000000000003E-2</v>
      </c>
    </row>
    <row r="86" spans="1:14" x14ac:dyDescent="0.55000000000000004">
      <c r="A86" t="s">
        <v>15</v>
      </c>
      <c r="B86" s="1">
        <v>80</v>
      </c>
      <c r="C86">
        <v>14</v>
      </c>
      <c r="D86" s="5">
        <v>45177</v>
      </c>
      <c r="E86" s="19">
        <v>1</v>
      </c>
      <c r="F86" s="20">
        <v>13</v>
      </c>
      <c r="G86" s="20">
        <v>20</v>
      </c>
      <c r="H86">
        <v>15.5</v>
      </c>
      <c r="I86" t="s">
        <v>100</v>
      </c>
      <c r="J86"/>
      <c r="K86" s="6">
        <v>8.7517644973779604E-2</v>
      </c>
      <c r="L86" s="6">
        <v>9.1024753660350996E-2</v>
      </c>
      <c r="M86" s="6">
        <f t="shared" si="2"/>
        <v>0.96147082474226975</v>
      </c>
      <c r="N86" s="12">
        <v>0.10290000000000001</v>
      </c>
    </row>
    <row r="87" spans="1:14" x14ac:dyDescent="0.55000000000000004">
      <c r="A87" t="s">
        <v>15</v>
      </c>
      <c r="B87" s="1">
        <v>81</v>
      </c>
      <c r="C87">
        <v>14</v>
      </c>
      <c r="D87" s="5">
        <v>45177</v>
      </c>
      <c r="E87" s="19">
        <v>1</v>
      </c>
      <c r="F87" s="20">
        <v>12</v>
      </c>
      <c r="G87" s="20">
        <v>29.9</v>
      </c>
      <c r="H87">
        <v>20</v>
      </c>
      <c r="I87" t="s">
        <v>101</v>
      </c>
      <c r="J87"/>
      <c r="K87" s="6">
        <v>0.73489081294159031</v>
      </c>
      <c r="L87" s="6">
        <v>0.16867848825411114</v>
      </c>
      <c r="M87" s="6">
        <f t="shared" si="2"/>
        <v>4.3567547975322753</v>
      </c>
      <c r="N87" s="12">
        <v>4.48E-2</v>
      </c>
    </row>
    <row r="88" spans="1:14" x14ac:dyDescent="0.55000000000000004">
      <c r="A88" t="s">
        <v>15</v>
      </c>
      <c r="B88" s="1">
        <v>82</v>
      </c>
      <c r="C88">
        <v>14</v>
      </c>
      <c r="D88" s="5">
        <v>45177</v>
      </c>
      <c r="E88" s="19">
        <v>1</v>
      </c>
      <c r="F88" s="20">
        <v>11</v>
      </c>
      <c r="G88" s="20">
        <v>39.9</v>
      </c>
      <c r="H88">
        <v>29.9</v>
      </c>
      <c r="I88" t="s">
        <v>102</v>
      </c>
      <c r="J88"/>
      <c r="K88" s="6">
        <v>0.66153043406651046</v>
      </c>
      <c r="L88" s="6">
        <v>0.31080181795449791</v>
      </c>
      <c r="M88" s="6">
        <f t="shared" si="2"/>
        <v>2.1284638501160891</v>
      </c>
      <c r="N88" s="12">
        <v>3.5999999999999997E-2</v>
      </c>
    </row>
    <row r="89" spans="1:14" x14ac:dyDescent="0.55000000000000004">
      <c r="A89" t="s">
        <v>15</v>
      </c>
      <c r="B89" s="1">
        <v>83</v>
      </c>
      <c r="C89">
        <v>14</v>
      </c>
      <c r="D89" s="5">
        <v>45177</v>
      </c>
      <c r="E89" s="19">
        <v>1</v>
      </c>
      <c r="F89" s="20">
        <v>10</v>
      </c>
      <c r="G89" s="20">
        <v>55.5</v>
      </c>
      <c r="H89">
        <v>39.9</v>
      </c>
      <c r="I89" t="s">
        <v>103</v>
      </c>
      <c r="J89"/>
      <c r="K89" s="6">
        <v>0.20077577376337671</v>
      </c>
      <c r="L89" s="6">
        <v>0.1261498345464164</v>
      </c>
      <c r="M89" s="6">
        <f t="shared" si="2"/>
        <v>1.5915658905561383</v>
      </c>
      <c r="N89" s="12">
        <v>2.5600000000000001E-2</v>
      </c>
    </row>
    <row r="90" spans="1:14" x14ac:dyDescent="0.55000000000000004">
      <c r="A90" t="s">
        <v>15</v>
      </c>
      <c r="B90" s="1">
        <v>84</v>
      </c>
      <c r="C90">
        <v>16</v>
      </c>
      <c r="D90" s="5">
        <v>45178</v>
      </c>
      <c r="E90" s="19">
        <v>1</v>
      </c>
      <c r="F90" s="20">
        <v>24</v>
      </c>
      <c r="G90" s="20">
        <v>3.3</v>
      </c>
      <c r="H90">
        <v>3.3</v>
      </c>
      <c r="I90" t="s">
        <v>110</v>
      </c>
      <c r="J90"/>
      <c r="K90" s="6">
        <v>6.2935482929673839E-2</v>
      </c>
      <c r="L90" s="6">
        <v>4.8170969193322276E-2</v>
      </c>
      <c r="M90" s="6">
        <f t="shared" si="2"/>
        <v>1.3065023183797244</v>
      </c>
      <c r="N90" s="12">
        <v>2.35E-2</v>
      </c>
    </row>
    <row r="91" spans="1:14" x14ac:dyDescent="0.55000000000000004">
      <c r="A91" t="s">
        <v>15</v>
      </c>
      <c r="B91" s="1">
        <v>85</v>
      </c>
      <c r="C91">
        <v>16</v>
      </c>
      <c r="D91" s="5">
        <v>45178</v>
      </c>
      <c r="E91" s="19">
        <v>1</v>
      </c>
      <c r="F91" s="20">
        <v>20</v>
      </c>
      <c r="G91" s="20">
        <v>10.199999999999999</v>
      </c>
      <c r="H91">
        <v>10.199999999999999</v>
      </c>
      <c r="I91" t="s">
        <v>112</v>
      </c>
      <c r="J91"/>
      <c r="K91" s="6">
        <v>0.12741539488829678</v>
      </c>
      <c r="L91" s="6">
        <v>0.13677910038788291</v>
      </c>
      <c r="M91" s="6">
        <f t="shared" si="2"/>
        <v>0.93154140162472043</v>
      </c>
      <c r="N91" s="12">
        <v>2.53E-2</v>
      </c>
    </row>
    <row r="92" spans="1:14" x14ac:dyDescent="0.55000000000000004">
      <c r="A92" t="s">
        <v>15</v>
      </c>
      <c r="B92" s="1">
        <v>86</v>
      </c>
      <c r="C92">
        <v>16</v>
      </c>
      <c r="D92" s="5">
        <v>45178</v>
      </c>
      <c r="E92" s="19">
        <v>1</v>
      </c>
      <c r="F92" s="20">
        <v>19</v>
      </c>
      <c r="G92" s="20">
        <v>20.3</v>
      </c>
      <c r="H92">
        <v>20.3</v>
      </c>
      <c r="I92" t="s">
        <v>113</v>
      </c>
      <c r="J92"/>
      <c r="K92" s="6">
        <v>0.23681245110552121</v>
      </c>
      <c r="L92" s="6">
        <v>0.36154585783048399</v>
      </c>
      <c r="M92" s="6">
        <f t="shared" si="2"/>
        <v>0.65499976275915228</v>
      </c>
      <c r="N92" s="12">
        <v>4.9700000000000001E-2</v>
      </c>
    </row>
    <row r="93" spans="1:14" x14ac:dyDescent="0.55000000000000004">
      <c r="A93" t="s">
        <v>15</v>
      </c>
      <c r="B93" s="1">
        <v>87</v>
      </c>
      <c r="C93">
        <v>16</v>
      </c>
      <c r="D93" s="5">
        <v>45178</v>
      </c>
      <c r="E93" s="19">
        <v>1</v>
      </c>
      <c r="F93" s="20">
        <v>18</v>
      </c>
      <c r="G93" s="20">
        <v>29.8</v>
      </c>
      <c r="H93">
        <v>29.8</v>
      </c>
      <c r="I93" t="s">
        <v>114</v>
      </c>
      <c r="J93"/>
      <c r="K93" s="6">
        <v>0.11711920136196971</v>
      </c>
      <c r="L93" s="6">
        <v>0.16275807217261329</v>
      </c>
      <c r="M93" s="6">
        <f t="shared" si="2"/>
        <v>0.71959073856416034</v>
      </c>
      <c r="N93" s="12">
        <v>3.4700000000000002E-2</v>
      </c>
    </row>
    <row r="94" spans="1:14" x14ac:dyDescent="0.55000000000000004">
      <c r="A94" t="s">
        <v>15</v>
      </c>
      <c r="B94" s="1">
        <v>88</v>
      </c>
      <c r="C94">
        <v>16</v>
      </c>
      <c r="D94" s="5">
        <v>45178</v>
      </c>
      <c r="E94" s="19">
        <v>1</v>
      </c>
      <c r="F94" s="20">
        <v>16</v>
      </c>
      <c r="G94" s="20">
        <v>40.299999999999997</v>
      </c>
      <c r="H94">
        <v>40.299999999999997</v>
      </c>
      <c r="I94" t="s">
        <v>115</v>
      </c>
      <c r="J94"/>
      <c r="K94" s="6">
        <v>6.8212282111916434E-2</v>
      </c>
      <c r="L94" s="6">
        <v>6.569451686368151E-2</v>
      </c>
      <c r="M94" s="6">
        <f t="shared" si="2"/>
        <v>1.038325348422295</v>
      </c>
      <c r="N94" s="12">
        <v>2.8799999999999999E-2</v>
      </c>
    </row>
    <row r="95" spans="1:14" x14ac:dyDescent="0.55000000000000004">
      <c r="A95" t="s">
        <v>15</v>
      </c>
      <c r="B95" s="1">
        <v>89</v>
      </c>
      <c r="C95">
        <v>16</v>
      </c>
      <c r="D95" s="5">
        <v>45178</v>
      </c>
      <c r="E95" s="19">
        <v>1</v>
      </c>
      <c r="F95" s="20">
        <v>15</v>
      </c>
      <c r="G95" s="20">
        <v>55.1</v>
      </c>
      <c r="H95">
        <v>55.1</v>
      </c>
      <c r="I95" t="s">
        <v>116</v>
      </c>
      <c r="J95"/>
      <c r="K95" s="6">
        <v>2.6512698330292048E-2</v>
      </c>
      <c r="L95" s="6">
        <v>3.7666055773327857E-2</v>
      </c>
      <c r="M95" s="6">
        <f t="shared" si="2"/>
        <v>0.7038883627700212</v>
      </c>
      <c r="N95" s="12">
        <v>2.46E-2</v>
      </c>
    </row>
    <row r="96" spans="1:14" x14ac:dyDescent="0.55000000000000004">
      <c r="A96" t="s">
        <v>15</v>
      </c>
      <c r="B96" s="1">
        <v>90</v>
      </c>
      <c r="C96">
        <v>17</v>
      </c>
      <c r="D96" s="5">
        <v>45178</v>
      </c>
      <c r="E96" s="19">
        <v>1</v>
      </c>
      <c r="F96" s="20">
        <v>24</v>
      </c>
      <c r="G96" s="20">
        <v>2.5</v>
      </c>
      <c r="H96">
        <v>2.5</v>
      </c>
      <c r="I96" t="s">
        <v>111</v>
      </c>
      <c r="J96"/>
      <c r="K96" s="6">
        <v>7.3360378875079943E-2</v>
      </c>
      <c r="L96" s="6">
        <v>4.7276376958792055E-2</v>
      </c>
      <c r="M96" s="6">
        <f t="shared" si="2"/>
        <v>1.551734367018516</v>
      </c>
      <c r="N96" s="12">
        <v>2.7400000000000001E-2</v>
      </c>
    </row>
    <row r="97" spans="1:14" x14ac:dyDescent="0.55000000000000004">
      <c r="A97" t="s">
        <v>15</v>
      </c>
      <c r="B97" s="1">
        <v>91</v>
      </c>
      <c r="C97">
        <v>17</v>
      </c>
      <c r="D97" s="5">
        <v>45178</v>
      </c>
      <c r="E97" s="19">
        <v>1</v>
      </c>
      <c r="F97" s="20">
        <v>22</v>
      </c>
      <c r="G97" s="20">
        <v>10.199999999999999</v>
      </c>
      <c r="H97">
        <v>10.199999999999999</v>
      </c>
      <c r="I97" t="s">
        <v>117</v>
      </c>
      <c r="J97"/>
      <c r="K97" s="6">
        <v>9.9100862690897462E-2</v>
      </c>
      <c r="L97" s="6">
        <v>5.5314184776458726E-2</v>
      </c>
      <c r="M97" s="6">
        <f t="shared" si="2"/>
        <v>1.7915994440014598</v>
      </c>
      <c r="N97" s="12">
        <v>2.7799999999999998E-2</v>
      </c>
    </row>
    <row r="98" spans="1:14" x14ac:dyDescent="0.55000000000000004">
      <c r="A98" t="s">
        <v>15</v>
      </c>
      <c r="B98" s="1">
        <v>92</v>
      </c>
      <c r="C98">
        <v>17</v>
      </c>
      <c r="D98" s="5">
        <v>45178</v>
      </c>
      <c r="E98" s="19">
        <v>1</v>
      </c>
      <c r="F98" s="20">
        <v>21</v>
      </c>
      <c r="G98" s="20">
        <v>19.899999999999999</v>
      </c>
      <c r="H98">
        <v>19.899999999999999</v>
      </c>
      <c r="I98" t="s">
        <v>118</v>
      </c>
      <c r="J98"/>
      <c r="K98" s="6">
        <v>0.19562767700021325</v>
      </c>
      <c r="L98" s="6">
        <v>0.11802788816785402</v>
      </c>
      <c r="M98" s="6">
        <f t="shared" si="2"/>
        <v>1.657469942374977</v>
      </c>
      <c r="N98" s="12">
        <v>2.81E-2</v>
      </c>
    </row>
    <row r="99" spans="1:14" x14ac:dyDescent="0.55000000000000004">
      <c r="A99" t="s">
        <v>15</v>
      </c>
      <c r="B99" s="1">
        <v>93</v>
      </c>
      <c r="C99">
        <v>17</v>
      </c>
      <c r="D99" s="5">
        <v>45178</v>
      </c>
      <c r="E99" s="19">
        <v>1</v>
      </c>
      <c r="F99" s="20">
        <v>20</v>
      </c>
      <c r="G99" s="20">
        <v>30</v>
      </c>
      <c r="H99">
        <v>30</v>
      </c>
      <c r="I99" t="s">
        <v>119</v>
      </c>
      <c r="J99"/>
      <c r="K99" s="6">
        <v>0.26126591073054795</v>
      </c>
      <c r="L99" s="6">
        <v>0.16458183736302029</v>
      </c>
      <c r="M99" s="6">
        <f t="shared" si="2"/>
        <v>1.5874528740025569</v>
      </c>
      <c r="N99" s="12">
        <v>4.0800000000000003E-2</v>
      </c>
    </row>
    <row r="100" spans="1:14" x14ac:dyDescent="0.55000000000000004">
      <c r="A100" t="s">
        <v>15</v>
      </c>
      <c r="B100" s="1">
        <v>94</v>
      </c>
      <c r="C100">
        <v>17</v>
      </c>
      <c r="D100" s="5">
        <v>45178</v>
      </c>
      <c r="E100" s="19">
        <v>1</v>
      </c>
      <c r="F100" s="20">
        <v>18</v>
      </c>
      <c r="G100" s="20">
        <v>39.9</v>
      </c>
      <c r="H100">
        <v>39.9</v>
      </c>
      <c r="I100" t="s">
        <v>120</v>
      </c>
      <c r="J100"/>
      <c r="K100" s="6">
        <v>1.5186885451332342E-2</v>
      </c>
      <c r="L100" s="6">
        <v>1.8350132670484073E-2</v>
      </c>
      <c r="M100" s="6">
        <f t="shared" si="2"/>
        <v>0.82761720168706088</v>
      </c>
      <c r="N100" s="12">
        <v>2.63E-2</v>
      </c>
    </row>
    <row r="101" spans="1:14" x14ac:dyDescent="0.55000000000000004">
      <c r="A101" t="s">
        <v>15</v>
      </c>
      <c r="B101" s="1">
        <v>95</v>
      </c>
      <c r="C101">
        <v>17</v>
      </c>
      <c r="D101" s="5">
        <v>45178</v>
      </c>
      <c r="E101" s="19">
        <v>1</v>
      </c>
      <c r="F101" s="20">
        <v>17</v>
      </c>
      <c r="G101" s="20">
        <v>54.7</v>
      </c>
      <c r="H101">
        <v>54.7</v>
      </c>
      <c r="I101" t="s">
        <v>121</v>
      </c>
      <c r="J101"/>
      <c r="K101" s="6">
        <v>5.3926313594137708E-2</v>
      </c>
      <c r="L101" s="6">
        <v>3.0640052245406557E-2</v>
      </c>
      <c r="M101" s="6">
        <f t="shared" si="2"/>
        <v>1.7599941789336258</v>
      </c>
      <c r="N101" s="12">
        <v>2.1399999999999999E-2</v>
      </c>
    </row>
    <row r="102" spans="1:14" x14ac:dyDescent="0.55000000000000004">
      <c r="A102" t="s">
        <v>15</v>
      </c>
      <c r="B102" s="1">
        <v>96</v>
      </c>
      <c r="C102">
        <v>18</v>
      </c>
      <c r="D102" s="5">
        <v>45179</v>
      </c>
      <c r="E102" s="19">
        <v>1</v>
      </c>
      <c r="H102">
        <v>9.6999999999999993</v>
      </c>
      <c r="I102"/>
      <c r="J102"/>
      <c r="K102" s="6">
        <v>9.910086269089749E-2</v>
      </c>
      <c r="L102" s="6">
        <v>6.2552390126490984E-2</v>
      </c>
      <c r="M102" s="6">
        <f t="shared" si="2"/>
        <v>1.5842857881289527</v>
      </c>
      <c r="N102" s="12">
        <v>3.0300000000000001E-2</v>
      </c>
    </row>
    <row r="103" spans="1:14" x14ac:dyDescent="0.55000000000000004">
      <c r="A103" t="s">
        <v>15</v>
      </c>
      <c r="B103" s="1">
        <v>97</v>
      </c>
      <c r="C103">
        <v>18</v>
      </c>
      <c r="D103" s="5">
        <v>45179</v>
      </c>
      <c r="E103" s="19">
        <v>1</v>
      </c>
      <c r="H103">
        <v>19.8</v>
      </c>
      <c r="I103"/>
      <c r="J103"/>
      <c r="N103" s="12"/>
    </row>
    <row r="104" spans="1:14" x14ac:dyDescent="0.55000000000000004">
      <c r="A104" t="s">
        <v>15</v>
      </c>
      <c r="B104" s="1">
        <v>98</v>
      </c>
      <c r="C104">
        <v>18</v>
      </c>
      <c r="D104" s="5">
        <v>45179</v>
      </c>
      <c r="E104" s="19">
        <v>1</v>
      </c>
      <c r="H104">
        <v>30.1</v>
      </c>
      <c r="I104"/>
      <c r="J104"/>
      <c r="K104" s="6">
        <v>0.15058183032253253</v>
      </c>
      <c r="L104" s="6">
        <v>0.21977301008745451</v>
      </c>
      <c r="M104" s="6">
        <f t="shared" si="2"/>
        <v>0.68516980434772834</v>
      </c>
      <c r="N104" s="12">
        <v>4.24E-2</v>
      </c>
    </row>
    <row r="105" spans="1:14" x14ac:dyDescent="0.55000000000000004">
      <c r="A105" t="s">
        <v>15</v>
      </c>
      <c r="B105" s="1">
        <v>99</v>
      </c>
      <c r="C105">
        <v>18</v>
      </c>
      <c r="D105" s="5">
        <v>45179</v>
      </c>
      <c r="E105" s="19">
        <v>1</v>
      </c>
      <c r="H105">
        <v>40.200000000000003</v>
      </c>
      <c r="I105"/>
      <c r="J105"/>
      <c r="K105" s="6">
        <v>5.0065241021765086E-2</v>
      </c>
      <c r="L105" s="6">
        <v>2.0627897896883927E-2</v>
      </c>
      <c r="M105" s="6">
        <f t="shared" si="2"/>
        <v>2.4270646127896529</v>
      </c>
      <c r="N105" s="12">
        <v>2.5600000000000001E-2</v>
      </c>
    </row>
    <row r="106" spans="1:14" x14ac:dyDescent="0.55000000000000004">
      <c r="A106" t="s">
        <v>15</v>
      </c>
      <c r="B106" s="1">
        <v>100</v>
      </c>
      <c r="C106">
        <v>18</v>
      </c>
      <c r="D106" s="5">
        <v>45179</v>
      </c>
      <c r="E106" s="19">
        <v>1</v>
      </c>
      <c r="H106">
        <v>54.8</v>
      </c>
      <c r="I106"/>
      <c r="J106"/>
      <c r="K106" s="6">
        <v>8.3656572401406941E-3</v>
      </c>
      <c r="L106" s="6">
        <v>1.5037873391630471E-2</v>
      </c>
      <c r="M106" s="6">
        <f t="shared" si="2"/>
        <v>0.55630587000398024</v>
      </c>
      <c r="N106" s="12">
        <v>2.2599999999999999E-2</v>
      </c>
    </row>
    <row r="107" spans="1:14" x14ac:dyDescent="0.55000000000000004">
      <c r="A107" t="s">
        <v>15</v>
      </c>
      <c r="B107" s="1">
        <v>101</v>
      </c>
      <c r="C107">
        <v>19</v>
      </c>
      <c r="D107" s="5">
        <v>45179</v>
      </c>
      <c r="E107" s="19">
        <v>1</v>
      </c>
      <c r="H107">
        <v>2</v>
      </c>
      <c r="I107"/>
      <c r="J107"/>
      <c r="K107" s="6">
        <v>7.8508475638243452E-2</v>
      </c>
      <c r="L107" s="6">
        <v>4.9366485545660872E-2</v>
      </c>
      <c r="M107" s="6">
        <f t="shared" si="2"/>
        <v>1.5903193182676147</v>
      </c>
      <c r="N107" s="12">
        <v>3.1300000000000001E-2</v>
      </c>
    </row>
    <row r="108" spans="1:14" x14ac:dyDescent="0.55000000000000004">
      <c r="A108" t="s">
        <v>15</v>
      </c>
      <c r="B108" s="1">
        <v>102</v>
      </c>
      <c r="C108">
        <v>19</v>
      </c>
      <c r="D108" s="5">
        <v>45179</v>
      </c>
      <c r="E108" s="19">
        <v>1</v>
      </c>
      <c r="H108">
        <v>10</v>
      </c>
      <c r="I108"/>
      <c r="J108"/>
      <c r="K108" s="6">
        <v>0.1029619352632701</v>
      </c>
      <c r="L108" s="6">
        <v>8.0405933604215316E-2</v>
      </c>
      <c r="M108" s="6">
        <f t="shared" si="2"/>
        <v>1.2805265811610733</v>
      </c>
      <c r="N108" s="12">
        <v>3.1399999999999997E-2</v>
      </c>
    </row>
    <row r="109" spans="1:14" x14ac:dyDescent="0.55000000000000004">
      <c r="A109" t="s">
        <v>15</v>
      </c>
      <c r="B109" s="1">
        <v>103</v>
      </c>
      <c r="C109">
        <v>19</v>
      </c>
      <c r="D109" s="5">
        <v>45179</v>
      </c>
      <c r="E109" s="19">
        <v>1</v>
      </c>
      <c r="H109">
        <v>19</v>
      </c>
      <c r="I109"/>
      <c r="J109"/>
      <c r="K109" s="6">
        <v>0.13642456422383287</v>
      </c>
      <c r="L109" s="6">
        <v>7.5896126043781889E-2</v>
      </c>
      <c r="M109" s="6">
        <f t="shared" si="2"/>
        <v>1.7975168343260917</v>
      </c>
      <c r="N109" s="12">
        <v>3.2099999999999997E-2</v>
      </c>
    </row>
    <row r="110" spans="1:14" x14ac:dyDescent="0.55000000000000004">
      <c r="A110" t="s">
        <v>15</v>
      </c>
      <c r="B110" s="1">
        <v>104</v>
      </c>
      <c r="C110">
        <v>19</v>
      </c>
      <c r="D110" s="5">
        <v>45179</v>
      </c>
      <c r="E110" s="19">
        <v>1</v>
      </c>
      <c r="H110">
        <v>30</v>
      </c>
      <c r="I110"/>
      <c r="J110"/>
      <c r="K110" s="6">
        <v>0.13385051584225116</v>
      </c>
      <c r="L110" s="6">
        <v>9.4152952683766944E-2</v>
      </c>
      <c r="M110" s="6">
        <f t="shared" si="2"/>
        <v>1.4216284463411049</v>
      </c>
      <c r="N110" s="12">
        <v>3.1699999999999999E-2</v>
      </c>
    </row>
    <row r="111" spans="1:14" x14ac:dyDescent="0.55000000000000004">
      <c r="A111" t="s">
        <v>15</v>
      </c>
      <c r="B111" s="1">
        <v>105</v>
      </c>
      <c r="C111">
        <v>19</v>
      </c>
      <c r="D111" s="5">
        <v>45179</v>
      </c>
      <c r="E111" s="19">
        <v>1</v>
      </c>
      <c r="H111">
        <v>40</v>
      </c>
      <c r="I111"/>
      <c r="J111"/>
      <c r="K111" s="6">
        <v>8.4814894173118743E-2</v>
      </c>
      <c r="L111" s="6">
        <v>3.4736130858248414E-2</v>
      </c>
      <c r="M111" s="6">
        <f t="shared" si="2"/>
        <v>2.4416908871984706</v>
      </c>
      <c r="N111" s="12">
        <v>2.5700000000000001E-2</v>
      </c>
    </row>
    <row r="112" spans="1:14" x14ac:dyDescent="0.55000000000000004">
      <c r="A112" t="s">
        <v>15</v>
      </c>
      <c r="B112" s="1">
        <v>106</v>
      </c>
      <c r="C112">
        <v>19</v>
      </c>
      <c r="D112" s="5">
        <v>45179</v>
      </c>
      <c r="E112" s="19">
        <v>1</v>
      </c>
      <c r="H112">
        <v>55</v>
      </c>
      <c r="I112"/>
      <c r="J112"/>
      <c r="K112" s="6">
        <v>2.0077577376337665E-2</v>
      </c>
      <c r="L112" s="6">
        <v>2.8056488201377273E-2</v>
      </c>
      <c r="M112" s="6">
        <f t="shared" si="2"/>
        <v>0.71561263235190176</v>
      </c>
      <c r="N112" s="12">
        <v>2.12E-2</v>
      </c>
    </row>
    <row r="113" spans="1:14" x14ac:dyDescent="0.55000000000000004">
      <c r="A113" t="s">
        <v>15</v>
      </c>
      <c r="B113" s="1">
        <v>107</v>
      </c>
      <c r="C113">
        <v>20</v>
      </c>
      <c r="D113" s="5">
        <v>45179</v>
      </c>
      <c r="E113" s="19">
        <v>1</v>
      </c>
      <c r="H113">
        <v>6.3</v>
      </c>
      <c r="I113"/>
      <c r="J113"/>
      <c r="K113" s="6">
        <v>0.11325812878959712</v>
      </c>
      <c r="L113" s="6">
        <v>5.3220594261146247E-2</v>
      </c>
      <c r="M113" s="6">
        <f t="shared" si="2"/>
        <v>2.1280883906304169</v>
      </c>
      <c r="N113" s="12">
        <v>3.1E-2</v>
      </c>
    </row>
    <row r="114" spans="1:14" x14ac:dyDescent="0.55000000000000004">
      <c r="A114" t="s">
        <v>15</v>
      </c>
      <c r="B114" s="1">
        <v>108</v>
      </c>
      <c r="C114">
        <v>20</v>
      </c>
      <c r="D114" s="5">
        <v>45179</v>
      </c>
      <c r="E114" s="19">
        <v>1</v>
      </c>
      <c r="H114">
        <v>10</v>
      </c>
      <c r="I114"/>
      <c r="J114"/>
      <c r="K114" s="6">
        <v>0.124841346506715</v>
      </c>
      <c r="L114" s="6">
        <v>6.9383830385818968E-2</v>
      </c>
      <c r="M114" s="6">
        <f t="shared" si="2"/>
        <v>1.7992858827844525</v>
      </c>
      <c r="N114" s="12">
        <v>3.15E-2</v>
      </c>
    </row>
    <row r="115" spans="1:14" x14ac:dyDescent="0.55000000000000004">
      <c r="A115" t="s">
        <v>15</v>
      </c>
      <c r="B115" s="1">
        <v>109</v>
      </c>
      <c r="C115">
        <v>20</v>
      </c>
      <c r="D115" s="5">
        <v>45179</v>
      </c>
      <c r="E115" s="19">
        <v>1</v>
      </c>
      <c r="H115">
        <v>19.7</v>
      </c>
      <c r="I115"/>
      <c r="J115"/>
      <c r="K115" s="6">
        <v>0.15959099965806869</v>
      </c>
      <c r="L115" s="6">
        <v>0.10822259829312718</v>
      </c>
      <c r="M115" s="6">
        <f t="shared" si="2"/>
        <v>1.4746550367032145</v>
      </c>
      <c r="N115" s="12">
        <v>3.4200000000000001E-2</v>
      </c>
    </row>
    <row r="116" spans="1:14" x14ac:dyDescent="0.55000000000000004">
      <c r="A116" t="s">
        <v>15</v>
      </c>
      <c r="B116" s="1">
        <v>110</v>
      </c>
      <c r="C116">
        <v>20</v>
      </c>
      <c r="D116" s="5">
        <v>45179</v>
      </c>
      <c r="E116" s="19">
        <v>1</v>
      </c>
      <c r="H116">
        <v>30</v>
      </c>
      <c r="I116"/>
      <c r="J116"/>
      <c r="K116" s="6">
        <v>0.14800778194095074</v>
      </c>
      <c r="L116" s="6">
        <v>0.17529872369382624</v>
      </c>
      <c r="M116" s="6">
        <f t="shared" si="2"/>
        <v>0.84431751026013524</v>
      </c>
      <c r="N116" s="12">
        <v>3.5700000000000003E-2</v>
      </c>
    </row>
    <row r="117" spans="1:14" x14ac:dyDescent="0.55000000000000004">
      <c r="A117" t="s">
        <v>15</v>
      </c>
      <c r="B117" s="1">
        <v>111</v>
      </c>
      <c r="C117">
        <v>20</v>
      </c>
      <c r="D117" s="5">
        <v>45179</v>
      </c>
      <c r="E117" s="19">
        <v>1</v>
      </c>
      <c r="H117">
        <v>40</v>
      </c>
      <c r="I117"/>
      <c r="J117"/>
      <c r="K117" s="6">
        <v>9.1378717546152233E-2</v>
      </c>
      <c r="L117" s="6">
        <v>7.7512740621268575E-2</v>
      </c>
      <c r="M117" s="6">
        <f t="shared" si="2"/>
        <v>1.178886423235034</v>
      </c>
      <c r="N117" s="12">
        <v>2.9600000000000001E-2</v>
      </c>
    </row>
    <row r="118" spans="1:14" x14ac:dyDescent="0.55000000000000004">
      <c r="A118" t="s">
        <v>15</v>
      </c>
      <c r="B118" s="1">
        <v>112</v>
      </c>
      <c r="C118">
        <v>20</v>
      </c>
      <c r="D118" s="5">
        <v>45179</v>
      </c>
      <c r="E118" s="19">
        <v>1</v>
      </c>
      <c r="H118">
        <v>54.7</v>
      </c>
      <c r="I118"/>
      <c r="J118"/>
      <c r="K118" s="6">
        <v>0.12690058521198039</v>
      </c>
      <c r="L118" s="6">
        <v>-2.9908633521547306E-2</v>
      </c>
      <c r="M118" s="6">
        <f t="shared" si="2"/>
        <v>-4.2429415947925682</v>
      </c>
      <c r="N118" s="12">
        <v>2.3099999999999999E-2</v>
      </c>
    </row>
    <row r="119" spans="1:14" x14ac:dyDescent="0.55000000000000004">
      <c r="A119" t="s">
        <v>15</v>
      </c>
      <c r="B119" s="1">
        <v>113</v>
      </c>
      <c r="C119">
        <v>21</v>
      </c>
      <c r="D119" s="5">
        <v>45179</v>
      </c>
      <c r="E119" s="19">
        <v>1</v>
      </c>
      <c r="H119">
        <v>2.8</v>
      </c>
      <c r="I119"/>
      <c r="J119"/>
      <c r="K119" s="6">
        <v>0.17503528994755921</v>
      </c>
      <c r="L119" s="6">
        <v>9.0365572886959247E-2</v>
      </c>
      <c r="M119" s="6">
        <f t="shared" si="2"/>
        <v>1.9369687410327783</v>
      </c>
      <c r="N119" s="12">
        <v>3.4799999999999998E-2</v>
      </c>
    </row>
    <row r="120" spans="1:14" x14ac:dyDescent="0.55000000000000004">
      <c r="A120" t="s">
        <v>15</v>
      </c>
      <c r="B120" s="1">
        <v>114</v>
      </c>
      <c r="C120">
        <v>21</v>
      </c>
      <c r="D120" s="5">
        <v>45179</v>
      </c>
      <c r="E120" s="19">
        <v>1</v>
      </c>
      <c r="H120">
        <v>10.3</v>
      </c>
      <c r="I120"/>
      <c r="J120"/>
      <c r="K120" s="6">
        <v>0.21235899148049456</v>
      </c>
      <c r="L120" s="6">
        <v>0.13507486532105686</v>
      </c>
      <c r="M120" s="6">
        <f t="shared" si="2"/>
        <v>1.5721577139887761</v>
      </c>
      <c r="N120" s="12">
        <v>4.1500000000000002E-2</v>
      </c>
    </row>
    <row r="121" spans="1:14" x14ac:dyDescent="0.55000000000000004">
      <c r="A121" t="s">
        <v>15</v>
      </c>
      <c r="B121" s="1">
        <v>115</v>
      </c>
      <c r="C121">
        <v>21</v>
      </c>
      <c r="D121" s="5">
        <v>45179</v>
      </c>
      <c r="E121" s="19">
        <v>1</v>
      </c>
      <c r="H121">
        <v>20</v>
      </c>
      <c r="I121"/>
      <c r="J121"/>
      <c r="K121" s="6">
        <v>0.34620950732274569</v>
      </c>
      <c r="L121" s="6">
        <v>0.1773540129962588</v>
      </c>
      <c r="M121" s="6">
        <f t="shared" si="2"/>
        <v>1.952081610524645</v>
      </c>
      <c r="N121" s="12">
        <v>5.0599999999999999E-2</v>
      </c>
    </row>
    <row r="122" spans="1:14" x14ac:dyDescent="0.55000000000000004">
      <c r="A122" t="s">
        <v>15</v>
      </c>
      <c r="B122" s="1">
        <v>116</v>
      </c>
      <c r="C122">
        <v>21</v>
      </c>
      <c r="D122" s="5">
        <v>45179</v>
      </c>
      <c r="E122" s="19">
        <v>1</v>
      </c>
      <c r="H122">
        <v>30.1</v>
      </c>
      <c r="I122"/>
      <c r="J122"/>
      <c r="K122" s="6">
        <v>0.12612837069750588</v>
      </c>
      <c r="L122" s="6">
        <v>6.4477703520011892E-2</v>
      </c>
      <c r="M122" s="6">
        <f t="shared" si="2"/>
        <v>1.9561548227033165</v>
      </c>
      <c r="N122" s="12">
        <v>3.5299999999999998E-2</v>
      </c>
    </row>
    <row r="123" spans="1:14" x14ac:dyDescent="0.55000000000000004">
      <c r="A123" t="s">
        <v>15</v>
      </c>
      <c r="B123" s="1">
        <v>117</v>
      </c>
      <c r="C123">
        <v>21</v>
      </c>
      <c r="D123" s="5">
        <v>45179</v>
      </c>
      <c r="E123" s="19">
        <v>1</v>
      </c>
      <c r="H123">
        <v>40</v>
      </c>
      <c r="I123"/>
      <c r="J123"/>
      <c r="K123" s="6">
        <v>3.513576040859092E-2</v>
      </c>
      <c r="L123" s="6">
        <v>2.0598420786657946E-2</v>
      </c>
      <c r="M123" s="6">
        <f t="shared" si="2"/>
        <v>1.7057502015566712</v>
      </c>
      <c r="N123" s="12">
        <v>2.4299999999999999E-2</v>
      </c>
    </row>
    <row r="124" spans="1:14" x14ac:dyDescent="0.55000000000000004">
      <c r="A124" t="s">
        <v>15</v>
      </c>
      <c r="B124" s="1">
        <v>118</v>
      </c>
      <c r="C124">
        <v>21</v>
      </c>
      <c r="D124" s="5">
        <v>45179</v>
      </c>
      <c r="E124" s="19">
        <v>1</v>
      </c>
      <c r="H124">
        <v>55.2</v>
      </c>
      <c r="I124"/>
      <c r="J124"/>
      <c r="K124" s="6">
        <v>1.6345207223044129E-2</v>
      </c>
      <c r="L124" s="6">
        <v>1.8156904945443263E-2</v>
      </c>
      <c r="M124" s="6">
        <f t="shared" si="2"/>
        <v>0.900219903786311</v>
      </c>
      <c r="N124" s="12">
        <v>2.1299999999999999E-2</v>
      </c>
    </row>
    <row r="125" spans="1:14" x14ac:dyDescent="0.55000000000000004">
      <c r="A125" t="s">
        <v>15</v>
      </c>
      <c r="B125" s="1">
        <v>119</v>
      </c>
      <c r="C125">
        <v>22</v>
      </c>
      <c r="D125" s="5">
        <v>45181</v>
      </c>
      <c r="E125" s="19">
        <v>1</v>
      </c>
      <c r="H125">
        <v>5.5</v>
      </c>
      <c r="I125"/>
      <c r="J125"/>
      <c r="K125" s="6">
        <v>0.16602612061202307</v>
      </c>
      <c r="L125" s="6">
        <v>4.7500937213930373E-2</v>
      </c>
      <c r="M125" s="6">
        <f t="shared" si="2"/>
        <v>3.4952177862152451</v>
      </c>
      <c r="N125" s="12">
        <v>3.6700000000000003E-2</v>
      </c>
    </row>
    <row r="126" spans="1:14" x14ac:dyDescent="0.55000000000000004">
      <c r="A126" t="s">
        <v>15</v>
      </c>
      <c r="B126" s="1">
        <v>120</v>
      </c>
      <c r="C126">
        <v>22</v>
      </c>
      <c r="D126" s="5">
        <v>45181</v>
      </c>
      <c r="E126" s="19">
        <v>1</v>
      </c>
      <c r="H126">
        <v>10.199999999999999</v>
      </c>
      <c r="I126"/>
      <c r="J126"/>
      <c r="K126" s="6">
        <v>0.16988719318439571</v>
      </c>
      <c r="L126" s="6">
        <v>5.9322642899961142E-2</v>
      </c>
      <c r="M126" s="6">
        <f t="shared" si="2"/>
        <v>2.8637832854292302</v>
      </c>
      <c r="N126" s="12">
        <v>3.5700000000000003E-2</v>
      </c>
    </row>
    <row r="127" spans="1:14" x14ac:dyDescent="0.55000000000000004">
      <c r="A127" t="s">
        <v>15</v>
      </c>
      <c r="B127" s="1">
        <v>121</v>
      </c>
      <c r="C127">
        <v>22</v>
      </c>
      <c r="D127" s="5">
        <v>45181</v>
      </c>
      <c r="E127" s="19">
        <v>1</v>
      </c>
      <c r="H127">
        <v>20</v>
      </c>
      <c r="I127"/>
      <c r="J127"/>
      <c r="K127" s="6">
        <v>0.44144929744127054</v>
      </c>
      <c r="L127" s="6">
        <v>0.17982999510317027</v>
      </c>
      <c r="M127" s="6">
        <f t="shared" si="2"/>
        <v>2.4548145996890378</v>
      </c>
      <c r="N127" s="12">
        <v>5.3600000000000002E-2</v>
      </c>
    </row>
    <row r="128" spans="1:14" x14ac:dyDescent="0.55000000000000004">
      <c r="A128" t="s">
        <v>15</v>
      </c>
      <c r="B128" s="1">
        <v>122</v>
      </c>
      <c r="C128">
        <v>22</v>
      </c>
      <c r="D128" s="5">
        <v>45181</v>
      </c>
      <c r="E128" s="19">
        <v>1</v>
      </c>
      <c r="H128">
        <v>30</v>
      </c>
      <c r="I128"/>
      <c r="J128"/>
      <c r="K128" s="6">
        <v>0.14414670936857812</v>
      </c>
      <c r="L128" s="6">
        <v>8.2650391599101272E-2</v>
      </c>
      <c r="M128" s="6">
        <f t="shared" si="2"/>
        <v>1.7440535559440176</v>
      </c>
      <c r="N128" s="12">
        <v>3.2300000000000002E-2</v>
      </c>
    </row>
    <row r="129" spans="1:14" x14ac:dyDescent="0.55000000000000004">
      <c r="A129" t="s">
        <v>15</v>
      </c>
      <c r="B129" s="1">
        <v>123</v>
      </c>
      <c r="C129">
        <v>22</v>
      </c>
      <c r="D129" s="5">
        <v>45181</v>
      </c>
      <c r="E129" s="19">
        <v>1</v>
      </c>
      <c r="H129">
        <v>40</v>
      </c>
      <c r="I129"/>
      <c r="J129"/>
      <c r="K129" s="6">
        <v>7.9666797409955234E-2</v>
      </c>
      <c r="L129" s="6">
        <v>3.3852389829718312E-2</v>
      </c>
      <c r="M129" s="6">
        <f t="shared" si="2"/>
        <v>2.3533581472589979</v>
      </c>
      <c r="N129" s="12">
        <v>2.9100000000000001E-2</v>
      </c>
    </row>
    <row r="130" spans="1:14" x14ac:dyDescent="0.55000000000000004">
      <c r="A130" t="s">
        <v>15</v>
      </c>
      <c r="B130" s="1">
        <v>124</v>
      </c>
      <c r="C130">
        <v>22</v>
      </c>
      <c r="D130" s="5">
        <v>45181</v>
      </c>
      <c r="E130" s="19">
        <v>1</v>
      </c>
      <c r="H130">
        <v>55</v>
      </c>
      <c r="I130"/>
      <c r="J130"/>
      <c r="K130" s="6">
        <v>1.3256349165146024E-2</v>
      </c>
      <c r="L130" s="6">
        <v>1.4852014944146156E-2</v>
      </c>
      <c r="M130" s="6">
        <f t="shared" si="2"/>
        <v>0.89256233682763331</v>
      </c>
      <c r="N130" s="12">
        <v>2.1299999999999999E-2</v>
      </c>
    </row>
    <row r="131" spans="1:14" x14ac:dyDescent="0.55000000000000004">
      <c r="A131" t="s">
        <v>15</v>
      </c>
      <c r="B131" s="1">
        <v>125</v>
      </c>
      <c r="C131">
        <v>23</v>
      </c>
      <c r="D131" s="5">
        <v>45181</v>
      </c>
      <c r="E131" s="19">
        <v>1</v>
      </c>
      <c r="H131">
        <v>5.3</v>
      </c>
      <c r="I131"/>
      <c r="J131"/>
      <c r="K131" s="6">
        <v>0.22522923338840331</v>
      </c>
      <c r="L131" s="6">
        <v>0.11617278562145449</v>
      </c>
      <c r="M131" s="6">
        <f t="shared" ref="M131:M194" si="3">K131/L131</f>
        <v>1.9387435033391207</v>
      </c>
      <c r="N131" s="12">
        <v>4.0899999999999999E-2</v>
      </c>
    </row>
    <row r="132" spans="1:14" x14ac:dyDescent="0.55000000000000004">
      <c r="A132" t="s">
        <v>15</v>
      </c>
      <c r="B132" s="1">
        <v>126</v>
      </c>
      <c r="C132">
        <v>23</v>
      </c>
      <c r="D132" s="5">
        <v>45181</v>
      </c>
      <c r="E132" s="19">
        <v>1</v>
      </c>
      <c r="H132">
        <v>9.9</v>
      </c>
      <c r="I132"/>
      <c r="J132"/>
      <c r="K132" s="6">
        <v>0.29215449130952886</v>
      </c>
      <c r="L132" s="6">
        <v>0.17350338620921718</v>
      </c>
      <c r="M132" s="6">
        <f t="shared" si="3"/>
        <v>1.6838546940936214</v>
      </c>
      <c r="N132" s="12">
        <v>4.5199999999999997E-2</v>
      </c>
    </row>
    <row r="133" spans="1:14" x14ac:dyDescent="0.55000000000000004">
      <c r="A133" t="s">
        <v>15</v>
      </c>
      <c r="B133" s="1">
        <v>127</v>
      </c>
      <c r="C133">
        <v>23</v>
      </c>
      <c r="D133" s="5">
        <v>45181</v>
      </c>
      <c r="E133" s="19">
        <v>1</v>
      </c>
      <c r="H133">
        <v>20.2</v>
      </c>
      <c r="I133"/>
      <c r="J133"/>
      <c r="K133" s="6">
        <v>0.30116366064506506</v>
      </c>
      <c r="L133" s="6">
        <v>0.12830319012351935</v>
      </c>
      <c r="M133" s="6">
        <f t="shared" si="3"/>
        <v>2.3472811576635815</v>
      </c>
      <c r="N133" s="12">
        <v>4.6899999999999997E-2</v>
      </c>
    </row>
    <row r="134" spans="1:14" x14ac:dyDescent="0.55000000000000004">
      <c r="A134" t="s">
        <v>15</v>
      </c>
      <c r="B134" s="1">
        <v>128</v>
      </c>
      <c r="C134">
        <v>23</v>
      </c>
      <c r="D134" s="5">
        <v>45181</v>
      </c>
      <c r="E134" s="19">
        <v>1</v>
      </c>
      <c r="H134">
        <v>29.8</v>
      </c>
      <c r="I134"/>
      <c r="J134"/>
      <c r="K134" s="6">
        <v>0.16345207223044128</v>
      </c>
      <c r="L134" s="6">
        <v>5.9725926062221955E-2</v>
      </c>
      <c r="M134" s="6">
        <f t="shared" si="3"/>
        <v>2.7367021829039255</v>
      </c>
      <c r="N134" s="12">
        <v>3.44E-2</v>
      </c>
    </row>
    <row r="135" spans="1:14" x14ac:dyDescent="0.55000000000000004">
      <c r="A135" t="s">
        <v>15</v>
      </c>
      <c r="B135" s="1">
        <v>129</v>
      </c>
      <c r="C135">
        <v>23</v>
      </c>
      <c r="D135" s="5">
        <v>45181</v>
      </c>
      <c r="E135" s="19">
        <v>1</v>
      </c>
      <c r="H135">
        <v>40.299999999999997</v>
      </c>
      <c r="I135"/>
      <c r="J135"/>
      <c r="K135" s="6">
        <v>0.11197110459880623</v>
      </c>
      <c r="L135" s="6">
        <v>8.4666807410405165E-2</v>
      </c>
      <c r="M135" s="6">
        <f t="shared" si="3"/>
        <v>1.3224911629896356</v>
      </c>
      <c r="N135" s="12">
        <v>3.1399999999999997E-2</v>
      </c>
    </row>
    <row r="136" spans="1:14" x14ac:dyDescent="0.55000000000000004">
      <c r="A136" t="s">
        <v>15</v>
      </c>
      <c r="B136" s="1">
        <v>130</v>
      </c>
      <c r="C136">
        <v>23</v>
      </c>
      <c r="D136" s="5">
        <v>45181</v>
      </c>
      <c r="E136" s="19">
        <v>1</v>
      </c>
      <c r="H136">
        <v>55.9</v>
      </c>
      <c r="I136"/>
      <c r="J136"/>
      <c r="K136" s="6">
        <v>1.6087802384885955E-2</v>
      </c>
      <c r="L136" s="6">
        <v>2.8065250250311202E-2</v>
      </c>
      <c r="M136" s="6">
        <f t="shared" si="3"/>
        <v>0.5732285385450131</v>
      </c>
      <c r="N136" s="12">
        <v>2.1499999999999998E-2</v>
      </c>
    </row>
    <row r="137" spans="1:14" x14ac:dyDescent="0.55000000000000004">
      <c r="A137" t="s">
        <v>15</v>
      </c>
      <c r="B137" s="1">
        <v>131</v>
      </c>
      <c r="C137">
        <v>25</v>
      </c>
      <c r="D137" s="5">
        <v>45182</v>
      </c>
      <c r="E137" s="19">
        <v>1</v>
      </c>
      <c r="H137">
        <v>2</v>
      </c>
      <c r="I137"/>
      <c r="J137"/>
      <c r="K137" s="6">
        <v>0.20334982214495842</v>
      </c>
      <c r="L137" s="6">
        <v>0.10427390523141522</v>
      </c>
      <c r="M137" s="6">
        <f t="shared" si="3"/>
        <v>1.9501506315857633</v>
      </c>
      <c r="N137" s="12">
        <v>4.1099999999999998E-2</v>
      </c>
    </row>
    <row r="138" spans="1:14" x14ac:dyDescent="0.55000000000000004">
      <c r="A138" t="s">
        <v>15</v>
      </c>
      <c r="B138" s="1">
        <v>132</v>
      </c>
      <c r="C138">
        <v>25</v>
      </c>
      <c r="D138" s="5">
        <v>45182</v>
      </c>
      <c r="E138" s="19">
        <v>1</v>
      </c>
      <c r="H138">
        <v>10</v>
      </c>
      <c r="I138"/>
      <c r="J138"/>
      <c r="K138" s="6">
        <v>0.34620950732274569</v>
      </c>
      <c r="L138" s="6">
        <v>0.15925849962117808</v>
      </c>
      <c r="M138" s="6">
        <f t="shared" si="3"/>
        <v>2.1738840196677769</v>
      </c>
      <c r="N138" s="12">
        <v>4.0300000000000002E-2</v>
      </c>
    </row>
    <row r="139" spans="1:14" x14ac:dyDescent="0.55000000000000004">
      <c r="A139" t="s">
        <v>15</v>
      </c>
      <c r="B139" s="1">
        <v>133</v>
      </c>
      <c r="C139">
        <v>25</v>
      </c>
      <c r="D139" s="5">
        <v>45182</v>
      </c>
      <c r="E139" s="19">
        <v>1</v>
      </c>
      <c r="H139">
        <v>20</v>
      </c>
      <c r="I139"/>
      <c r="J139"/>
      <c r="K139" s="6">
        <v>0.33591331379641876</v>
      </c>
      <c r="L139" s="6">
        <v>0.11164905034724638</v>
      </c>
      <c r="M139" s="6">
        <f t="shared" si="3"/>
        <v>3.0086535689437097</v>
      </c>
      <c r="N139" s="12">
        <v>4.5100000000000001E-2</v>
      </c>
    </row>
    <row r="140" spans="1:14" x14ac:dyDescent="0.55000000000000004">
      <c r="A140" t="s">
        <v>15</v>
      </c>
      <c r="B140" s="1">
        <v>134</v>
      </c>
      <c r="C140">
        <v>25</v>
      </c>
      <c r="D140" s="5">
        <v>45182</v>
      </c>
      <c r="E140" s="19">
        <v>1</v>
      </c>
      <c r="H140">
        <v>29</v>
      </c>
      <c r="I140"/>
      <c r="J140"/>
      <c r="K140" s="6">
        <v>0.124841346506715</v>
      </c>
      <c r="L140" s="6">
        <v>5.0081949452399431E-2</v>
      </c>
      <c r="M140" s="6">
        <f t="shared" si="3"/>
        <v>2.4927413543550436</v>
      </c>
      <c r="N140" s="12">
        <v>3.3000000000000002E-2</v>
      </c>
    </row>
    <row r="141" spans="1:14" x14ac:dyDescent="0.55000000000000004">
      <c r="A141" t="s">
        <v>15</v>
      </c>
      <c r="B141" s="1">
        <v>135</v>
      </c>
      <c r="C141">
        <v>25</v>
      </c>
      <c r="D141" s="5">
        <v>45182</v>
      </c>
      <c r="E141" s="19">
        <v>1</v>
      </c>
      <c r="H141">
        <v>40</v>
      </c>
      <c r="I141"/>
      <c r="J141"/>
      <c r="K141" s="6">
        <v>5.8302195842826698E-2</v>
      </c>
      <c r="L141" s="6">
        <v>3.7845298556769276E-2</v>
      </c>
      <c r="M141" s="6">
        <f t="shared" si="3"/>
        <v>1.5405399895411409</v>
      </c>
      <c r="N141" s="12">
        <v>2.5600000000000001E-2</v>
      </c>
    </row>
    <row r="142" spans="1:14" x14ac:dyDescent="0.55000000000000004">
      <c r="A142" t="s">
        <v>15</v>
      </c>
      <c r="B142" s="1">
        <v>136</v>
      </c>
      <c r="C142">
        <v>25</v>
      </c>
      <c r="D142" s="5">
        <v>45182</v>
      </c>
      <c r="E142" s="19">
        <v>1</v>
      </c>
      <c r="H142">
        <v>55</v>
      </c>
      <c r="I142"/>
      <c r="J142"/>
      <c r="K142" s="6">
        <v>1.5701695127648688E-2</v>
      </c>
      <c r="L142" s="6">
        <v>2.3505250518359718E-2</v>
      </c>
      <c r="M142" s="6">
        <f t="shared" si="3"/>
        <v>0.6680079889122752</v>
      </c>
      <c r="N142" s="12">
        <v>2.1000000000000001E-2</v>
      </c>
    </row>
    <row r="143" spans="1:14" x14ac:dyDescent="0.55000000000000004">
      <c r="A143" t="s">
        <v>15</v>
      </c>
      <c r="B143" s="1">
        <v>137</v>
      </c>
      <c r="C143">
        <v>26</v>
      </c>
      <c r="D143" s="5">
        <v>45183</v>
      </c>
      <c r="E143" s="19">
        <v>1</v>
      </c>
      <c r="H143">
        <v>1.9</v>
      </c>
      <c r="I143"/>
      <c r="J143"/>
      <c r="K143" s="6">
        <v>0.46075466030313367</v>
      </c>
      <c r="L143" s="6">
        <v>0.19912839410814628</v>
      </c>
      <c r="M143" s="6">
        <f t="shared" si="3"/>
        <v>2.3138571591799137</v>
      </c>
      <c r="N143" s="12">
        <v>5.2600000000000001E-2</v>
      </c>
    </row>
    <row r="144" spans="1:14" x14ac:dyDescent="0.55000000000000004">
      <c r="A144" t="s">
        <v>15</v>
      </c>
      <c r="B144" s="1">
        <v>138</v>
      </c>
      <c r="C144">
        <v>26</v>
      </c>
      <c r="D144" s="5">
        <v>45183</v>
      </c>
      <c r="E144" s="19">
        <v>1</v>
      </c>
      <c r="H144">
        <v>10.4</v>
      </c>
      <c r="I144"/>
      <c r="J144"/>
      <c r="K144" s="6">
        <v>0.50580050698081436</v>
      </c>
      <c r="L144" s="6">
        <v>0.14322523940541695</v>
      </c>
      <c r="M144" s="6">
        <f t="shared" si="3"/>
        <v>3.5315040078172446</v>
      </c>
      <c r="N144" s="12">
        <v>5.2600000000000001E-2</v>
      </c>
    </row>
    <row r="145" spans="1:14" x14ac:dyDescent="0.55000000000000004">
      <c r="A145" t="s">
        <v>15</v>
      </c>
      <c r="B145" s="1">
        <v>139</v>
      </c>
      <c r="C145">
        <v>26</v>
      </c>
      <c r="D145" s="5">
        <v>45183</v>
      </c>
      <c r="E145" s="19">
        <v>1</v>
      </c>
      <c r="H145">
        <v>20.2</v>
      </c>
      <c r="I145"/>
      <c r="J145"/>
      <c r="K145" s="6">
        <v>0.57787386166510346</v>
      </c>
      <c r="L145" s="6">
        <v>0.15921671647985458</v>
      </c>
      <c r="M145" s="6">
        <f t="shared" si="3"/>
        <v>3.6294798337850462</v>
      </c>
      <c r="N145" s="12">
        <v>5.3699999999999998E-2</v>
      </c>
    </row>
    <row r="146" spans="1:14" x14ac:dyDescent="0.55000000000000004">
      <c r="A146" t="s">
        <v>15</v>
      </c>
      <c r="B146" s="1">
        <v>140</v>
      </c>
      <c r="C146">
        <v>26</v>
      </c>
      <c r="D146" s="5">
        <v>45183</v>
      </c>
      <c r="E146" s="19">
        <v>1</v>
      </c>
      <c r="H146">
        <v>29.8</v>
      </c>
      <c r="I146"/>
      <c r="J146"/>
      <c r="K146" s="6">
        <v>0.13385051584225116</v>
      </c>
      <c r="L146" s="6">
        <v>9.1740217567089513E-2</v>
      </c>
      <c r="M146" s="6">
        <f t="shared" si="3"/>
        <v>1.459016769219742</v>
      </c>
      <c r="N146" s="12">
        <v>3.8399999999999997E-2</v>
      </c>
    </row>
    <row r="147" spans="1:14" x14ac:dyDescent="0.55000000000000004">
      <c r="A147" t="s">
        <v>15</v>
      </c>
      <c r="B147" s="1">
        <v>141</v>
      </c>
      <c r="C147">
        <v>26</v>
      </c>
      <c r="D147" s="5">
        <v>45183</v>
      </c>
      <c r="E147" s="19">
        <v>1</v>
      </c>
      <c r="H147">
        <v>40</v>
      </c>
      <c r="I147"/>
      <c r="J147"/>
      <c r="K147" s="6">
        <v>3.4106141055958224E-2</v>
      </c>
      <c r="L147" s="6">
        <v>3.5018720036850436E-2</v>
      </c>
      <c r="M147" s="6">
        <f t="shared" si="3"/>
        <v>0.97394025310085863</v>
      </c>
      <c r="N147" s="12">
        <v>2.5600000000000001E-2</v>
      </c>
    </row>
    <row r="148" spans="1:14" x14ac:dyDescent="0.55000000000000004">
      <c r="A148" t="s">
        <v>15</v>
      </c>
      <c r="B148" s="1">
        <v>142</v>
      </c>
      <c r="C148">
        <v>26</v>
      </c>
      <c r="D148" s="5">
        <v>45183</v>
      </c>
      <c r="E148" s="19">
        <v>1</v>
      </c>
      <c r="H148">
        <v>55</v>
      </c>
      <c r="I148"/>
      <c r="J148"/>
      <c r="K148" s="6">
        <v>1.6731314480281395E-2</v>
      </c>
      <c r="L148" s="6">
        <v>2.1269263607388289E-2</v>
      </c>
      <c r="M148" s="6">
        <f t="shared" si="3"/>
        <v>0.78664286592740573</v>
      </c>
      <c r="N148" s="12">
        <v>2.0899999999999998E-2</v>
      </c>
    </row>
    <row r="149" spans="1:14" x14ac:dyDescent="0.55000000000000004">
      <c r="A149" t="s">
        <v>15</v>
      </c>
      <c r="B149" s="1">
        <v>143</v>
      </c>
      <c r="C149">
        <v>27</v>
      </c>
      <c r="D149" s="5">
        <v>45183</v>
      </c>
      <c r="E149" s="19">
        <v>1</v>
      </c>
      <c r="H149">
        <v>2.4</v>
      </c>
      <c r="I149"/>
      <c r="J149"/>
      <c r="K149" s="6">
        <v>0.42600500715178019</v>
      </c>
      <c r="L149" s="6">
        <v>0.21698890144275762</v>
      </c>
      <c r="M149" s="6">
        <f t="shared" si="3"/>
        <v>1.9632571266054439</v>
      </c>
      <c r="N149" s="12">
        <v>5.4600000000000003E-2</v>
      </c>
    </row>
    <row r="150" spans="1:14" x14ac:dyDescent="0.55000000000000004">
      <c r="A150" t="s">
        <v>15</v>
      </c>
      <c r="B150" s="1">
        <v>144</v>
      </c>
      <c r="C150">
        <v>27</v>
      </c>
      <c r="D150" s="5">
        <v>45183</v>
      </c>
      <c r="E150" s="19">
        <v>1</v>
      </c>
      <c r="H150">
        <v>9.9</v>
      </c>
      <c r="I150"/>
      <c r="J150"/>
      <c r="K150" s="6">
        <v>0.55342040204007681</v>
      </c>
      <c r="L150" s="6">
        <v>0.23071851088009127</v>
      </c>
      <c r="M150" s="6">
        <f t="shared" si="3"/>
        <v>2.3986822727358006</v>
      </c>
      <c r="N150" s="12">
        <v>5.67E-2</v>
      </c>
    </row>
    <row r="151" spans="1:14" x14ac:dyDescent="0.55000000000000004">
      <c r="A151" t="s">
        <v>15</v>
      </c>
      <c r="B151" s="1">
        <v>145</v>
      </c>
      <c r="C151">
        <v>27</v>
      </c>
      <c r="D151" s="5">
        <v>45183</v>
      </c>
      <c r="E151" s="19">
        <v>1</v>
      </c>
      <c r="H151">
        <v>19.899999999999999</v>
      </c>
      <c r="I151"/>
      <c r="J151"/>
      <c r="K151" s="6">
        <v>0.59460517614538488</v>
      </c>
      <c r="L151" s="6">
        <v>0.21124835282488</v>
      </c>
      <c r="M151" s="6">
        <f t="shared" si="3"/>
        <v>2.8147210058404517</v>
      </c>
      <c r="N151" s="12">
        <v>6.13E-2</v>
      </c>
    </row>
    <row r="152" spans="1:14" x14ac:dyDescent="0.55000000000000004">
      <c r="A152" t="s">
        <v>15</v>
      </c>
      <c r="B152" s="1">
        <v>146</v>
      </c>
      <c r="C152">
        <v>27</v>
      </c>
      <c r="D152" s="5">
        <v>45183</v>
      </c>
      <c r="E152" s="19">
        <v>1</v>
      </c>
      <c r="H152">
        <v>29.6</v>
      </c>
      <c r="I152"/>
      <c r="J152"/>
      <c r="K152" s="6">
        <v>0.27284912844766579</v>
      </c>
      <c r="L152" s="6">
        <v>7.4584728353885632E-2</v>
      </c>
      <c r="M152" s="6">
        <f t="shared" si="3"/>
        <v>3.6582439122532677</v>
      </c>
      <c r="N152" s="12">
        <v>4.7699999999999999E-2</v>
      </c>
    </row>
    <row r="153" spans="1:14" x14ac:dyDescent="0.55000000000000004">
      <c r="A153" t="s">
        <v>15</v>
      </c>
      <c r="B153" s="1">
        <v>147</v>
      </c>
      <c r="C153">
        <v>27</v>
      </c>
      <c r="D153" s="5">
        <v>45183</v>
      </c>
      <c r="E153" s="19">
        <v>1</v>
      </c>
      <c r="H153">
        <v>40.1</v>
      </c>
      <c r="I153"/>
      <c r="J153"/>
      <c r="K153" s="6">
        <v>8.10825240198252E-2</v>
      </c>
      <c r="L153" s="6">
        <v>4.6792437164079131E-2</v>
      </c>
      <c r="M153" s="6">
        <f t="shared" si="3"/>
        <v>1.7328125854079115</v>
      </c>
      <c r="N153" s="12">
        <v>2.8899999999999999E-2</v>
      </c>
    </row>
    <row r="154" spans="1:14" x14ac:dyDescent="0.55000000000000004">
      <c r="A154" t="s">
        <v>15</v>
      </c>
      <c r="B154" s="1">
        <v>148</v>
      </c>
      <c r="C154">
        <v>27</v>
      </c>
      <c r="D154" s="5">
        <v>45183</v>
      </c>
      <c r="E154" s="19">
        <v>1</v>
      </c>
      <c r="H154">
        <v>55</v>
      </c>
      <c r="I154"/>
      <c r="J154"/>
      <c r="K154" s="6">
        <v>2.1493303986207635E-2</v>
      </c>
      <c r="L154" s="6">
        <v>2.3745479451494376E-2</v>
      </c>
      <c r="M154" s="6">
        <f t="shared" si="3"/>
        <v>0.90515350638055847</v>
      </c>
      <c r="N154" s="12">
        <v>2.0899999999999998E-2</v>
      </c>
    </row>
    <row r="155" spans="1:14" x14ac:dyDescent="0.55000000000000004">
      <c r="A155" t="s">
        <v>15</v>
      </c>
      <c r="B155" s="1">
        <v>149</v>
      </c>
      <c r="C155">
        <v>30</v>
      </c>
      <c r="D155" s="5">
        <v>45185</v>
      </c>
      <c r="E155" s="19">
        <v>1</v>
      </c>
      <c r="H155">
        <v>2.4</v>
      </c>
      <c r="I155"/>
      <c r="J155"/>
      <c r="K155" s="6">
        <v>0.35393165246749098</v>
      </c>
      <c r="L155" s="6">
        <v>0.20702926216001385</v>
      </c>
      <c r="M155" s="6">
        <f t="shared" si="3"/>
        <v>1.7095730756840335</v>
      </c>
      <c r="N155" s="12">
        <v>5.0500000000000003E-2</v>
      </c>
    </row>
    <row r="156" spans="1:14" x14ac:dyDescent="0.55000000000000004">
      <c r="A156" t="s">
        <v>15</v>
      </c>
      <c r="B156" s="1">
        <v>150</v>
      </c>
      <c r="C156">
        <v>30</v>
      </c>
      <c r="D156" s="5">
        <v>45185</v>
      </c>
      <c r="E156" s="19">
        <v>1</v>
      </c>
      <c r="H156">
        <v>19.600000000000001</v>
      </c>
      <c r="I156"/>
      <c r="J156"/>
      <c r="K156" s="6">
        <v>0.41956988619782559</v>
      </c>
      <c r="L156" s="6">
        <v>0.23790043309677689</v>
      </c>
      <c r="M156" s="6">
        <f t="shared" si="3"/>
        <v>1.763636495891314</v>
      </c>
      <c r="N156" s="12">
        <v>5.0299999999999997E-2</v>
      </c>
    </row>
    <row r="157" spans="1:14" x14ac:dyDescent="0.55000000000000004">
      <c r="A157" t="s">
        <v>15</v>
      </c>
      <c r="B157" s="1">
        <v>151</v>
      </c>
      <c r="C157">
        <v>30</v>
      </c>
      <c r="D157" s="5">
        <v>45185</v>
      </c>
      <c r="E157" s="19">
        <v>1</v>
      </c>
      <c r="H157">
        <v>30.1</v>
      </c>
      <c r="I157"/>
      <c r="J157"/>
      <c r="K157" s="6">
        <v>0.37838511209251763</v>
      </c>
      <c r="L157" s="6">
        <v>0.10898738147632522</v>
      </c>
      <c r="M157" s="6">
        <f t="shared" si="3"/>
        <v>3.4718249669546588</v>
      </c>
      <c r="N157" s="12">
        <v>6.3399999999999998E-2</v>
      </c>
    </row>
    <row r="158" spans="1:14" x14ac:dyDescent="0.55000000000000004">
      <c r="A158" t="s">
        <v>15</v>
      </c>
      <c r="B158" s="1">
        <v>152</v>
      </c>
      <c r="C158">
        <v>30</v>
      </c>
      <c r="D158" s="5">
        <v>45185</v>
      </c>
      <c r="E158" s="19">
        <v>1</v>
      </c>
      <c r="H158">
        <v>40.1</v>
      </c>
      <c r="I158"/>
      <c r="J158"/>
      <c r="K158" s="6">
        <v>0.15830397546727779</v>
      </c>
      <c r="L158" s="6">
        <v>6.2461287708708006E-2</v>
      </c>
      <c r="M158" s="6">
        <f t="shared" si="3"/>
        <v>2.5344334270778717</v>
      </c>
      <c r="N158" s="12">
        <v>3.9399999999999998E-2</v>
      </c>
    </row>
    <row r="159" spans="1:14" x14ac:dyDescent="0.55000000000000004">
      <c r="A159" t="s">
        <v>15</v>
      </c>
      <c r="B159" s="1">
        <v>153</v>
      </c>
      <c r="C159">
        <v>30</v>
      </c>
      <c r="D159" s="5">
        <v>45185</v>
      </c>
      <c r="E159" s="19">
        <v>1</v>
      </c>
      <c r="H159">
        <v>55.2</v>
      </c>
      <c r="I159"/>
      <c r="J159"/>
      <c r="K159" s="6">
        <v>4.0026452333596259E-2</v>
      </c>
      <c r="L159" s="6">
        <v>2.5841216351697859E-2</v>
      </c>
      <c r="M159" s="6">
        <f t="shared" si="3"/>
        <v>1.5489384009188245</v>
      </c>
      <c r="N159" s="12">
        <v>2.4400000000000002E-2</v>
      </c>
    </row>
    <row r="160" spans="1:14" x14ac:dyDescent="0.55000000000000004">
      <c r="A160" t="s">
        <v>15</v>
      </c>
      <c r="B160" s="1">
        <v>154</v>
      </c>
      <c r="C160">
        <v>31</v>
      </c>
      <c r="D160" s="5">
        <v>45186</v>
      </c>
      <c r="E160" s="19">
        <v>1</v>
      </c>
      <c r="H160">
        <v>2.9</v>
      </c>
      <c r="I160"/>
      <c r="J160"/>
      <c r="K160" s="6">
        <v>0.44144929744127054</v>
      </c>
      <c r="L160" s="6">
        <v>0.17621089242815421</v>
      </c>
      <c r="M160" s="6">
        <f t="shared" si="3"/>
        <v>2.5052327433235204</v>
      </c>
      <c r="N160" s="12">
        <v>5.7500000000000002E-2</v>
      </c>
    </row>
    <row r="161" spans="1:19" x14ac:dyDescent="0.55000000000000004">
      <c r="A161" t="s">
        <v>15</v>
      </c>
      <c r="B161" s="1">
        <v>155</v>
      </c>
      <c r="C161">
        <v>31</v>
      </c>
      <c r="D161" s="5">
        <v>45186</v>
      </c>
      <c r="E161" s="19">
        <v>1</v>
      </c>
      <c r="H161">
        <v>9</v>
      </c>
      <c r="I161"/>
      <c r="J161"/>
      <c r="K161" s="6">
        <v>0.53411503917821368</v>
      </c>
      <c r="L161" s="6">
        <v>0.16919724733326005</v>
      </c>
      <c r="M161" s="6">
        <f t="shared" si="3"/>
        <v>3.1567596258004826</v>
      </c>
      <c r="N161" s="12">
        <v>6.1800000000000001E-2</v>
      </c>
    </row>
    <row r="162" spans="1:19" x14ac:dyDescent="0.55000000000000004">
      <c r="A162" t="s">
        <v>15</v>
      </c>
      <c r="B162" s="1">
        <v>156</v>
      </c>
      <c r="C162">
        <v>31</v>
      </c>
      <c r="D162" s="5">
        <v>45186</v>
      </c>
      <c r="E162" s="19">
        <v>1</v>
      </c>
      <c r="H162">
        <v>19</v>
      </c>
      <c r="I162"/>
      <c r="J162"/>
      <c r="K162" s="6">
        <v>0.42857905553336179</v>
      </c>
      <c r="L162" s="6">
        <v>0.19511297212775652</v>
      </c>
      <c r="M162" s="6">
        <f t="shared" si="3"/>
        <v>2.1965687409688774</v>
      </c>
      <c r="N162" s="12">
        <v>5.9799999999999999E-2</v>
      </c>
    </row>
    <row r="163" spans="1:19" x14ac:dyDescent="0.55000000000000004">
      <c r="A163" t="s">
        <v>15</v>
      </c>
      <c r="B163" s="1">
        <v>157</v>
      </c>
      <c r="C163">
        <v>31</v>
      </c>
      <c r="D163" s="5">
        <v>45186</v>
      </c>
      <c r="E163" s="19">
        <v>1</v>
      </c>
      <c r="H163">
        <v>29</v>
      </c>
      <c r="I163"/>
      <c r="J163"/>
      <c r="K163" s="6">
        <v>0</v>
      </c>
      <c r="L163" s="6">
        <v>0</v>
      </c>
      <c r="N163" s="12">
        <v>5.5199999999999999E-2</v>
      </c>
    </row>
    <row r="164" spans="1:19" x14ac:dyDescent="0.55000000000000004">
      <c r="A164" t="s">
        <v>15</v>
      </c>
      <c r="B164" s="1">
        <v>158</v>
      </c>
      <c r="C164">
        <v>31</v>
      </c>
      <c r="D164" s="5">
        <v>45186</v>
      </c>
      <c r="E164" s="19">
        <v>1</v>
      </c>
      <c r="H164">
        <v>40</v>
      </c>
      <c r="I164"/>
      <c r="J164"/>
      <c r="K164" s="6">
        <v>7.0786330493498167E-2</v>
      </c>
      <c r="L164" s="6">
        <v>6.6739571157115943E-2</v>
      </c>
      <c r="M164" s="6">
        <f t="shared" si="3"/>
        <v>1.0606350814999319</v>
      </c>
      <c r="N164" s="12">
        <v>3.3599999999999998E-2</v>
      </c>
    </row>
    <row r="165" spans="1:19" x14ac:dyDescent="0.55000000000000004">
      <c r="A165" t="s">
        <v>15</v>
      </c>
      <c r="B165" s="1">
        <v>159</v>
      </c>
      <c r="C165">
        <v>31</v>
      </c>
      <c r="D165" s="5">
        <v>45186</v>
      </c>
      <c r="E165" s="19">
        <v>1</v>
      </c>
      <c r="H165">
        <v>55</v>
      </c>
      <c r="I165"/>
      <c r="J165"/>
      <c r="K165" s="6">
        <v>1.7374826575676836E-2</v>
      </c>
      <c r="L165" s="6">
        <v>3.4498978432888121E-2</v>
      </c>
      <c r="M165" s="6">
        <f t="shared" si="3"/>
        <v>0.50363307451194816</v>
      </c>
      <c r="N165" s="12">
        <v>2.24E-2</v>
      </c>
    </row>
    <row r="166" spans="1:19" x14ac:dyDescent="0.55000000000000004">
      <c r="A166" t="s">
        <v>15</v>
      </c>
      <c r="B166" s="1">
        <v>160</v>
      </c>
      <c r="C166">
        <v>32</v>
      </c>
      <c r="D166" s="5">
        <v>45186</v>
      </c>
      <c r="E166" s="19">
        <v>1</v>
      </c>
      <c r="H166">
        <v>3.2</v>
      </c>
      <c r="I166"/>
      <c r="J166"/>
      <c r="K166" s="6">
        <v>0.32175604769771909</v>
      </c>
      <c r="L166" s="6">
        <v>0.15475913784607537</v>
      </c>
      <c r="M166" s="6">
        <f t="shared" si="3"/>
        <v>2.0790762482648368</v>
      </c>
      <c r="N166" s="12">
        <v>4.3900000000000002E-2</v>
      </c>
      <c r="R166" s="6"/>
      <c r="S166" s="6"/>
    </row>
    <row r="167" spans="1:19" x14ac:dyDescent="0.55000000000000004">
      <c r="A167" t="s">
        <v>15</v>
      </c>
      <c r="B167" s="1">
        <v>161</v>
      </c>
      <c r="C167">
        <v>32</v>
      </c>
      <c r="D167" s="5">
        <v>45186</v>
      </c>
      <c r="E167" s="19">
        <v>1</v>
      </c>
      <c r="H167">
        <v>10.1</v>
      </c>
      <c r="I167"/>
      <c r="J167"/>
      <c r="K167" s="6">
        <v>0.60490136967171182</v>
      </c>
      <c r="L167" s="6">
        <v>0.13098284091490731</v>
      </c>
      <c r="M167" s="6">
        <f t="shared" si="3"/>
        <v>4.6181726205242759</v>
      </c>
      <c r="N167" s="12">
        <v>5.04E-2</v>
      </c>
      <c r="R167" s="6"/>
      <c r="S167" s="6"/>
    </row>
    <row r="168" spans="1:19" x14ac:dyDescent="0.55000000000000004">
      <c r="A168" t="s">
        <v>15</v>
      </c>
      <c r="B168" s="1">
        <v>162</v>
      </c>
      <c r="C168">
        <v>32</v>
      </c>
      <c r="D168" s="5">
        <v>45186</v>
      </c>
      <c r="E168" s="19">
        <v>1</v>
      </c>
      <c r="H168">
        <v>20</v>
      </c>
      <c r="I168"/>
      <c r="J168"/>
      <c r="K168" s="6">
        <v>0.27413615263845664</v>
      </c>
      <c r="L168" s="6">
        <v>0.17342621150520851</v>
      </c>
      <c r="M168" s="6">
        <f t="shared" si="3"/>
        <v>1.5807077272758363</v>
      </c>
      <c r="N168" s="12">
        <v>7.0699999999999999E-2</v>
      </c>
      <c r="R168" s="6"/>
      <c r="S168" s="6"/>
    </row>
    <row r="169" spans="1:19" x14ac:dyDescent="0.55000000000000004">
      <c r="A169" t="s">
        <v>15</v>
      </c>
      <c r="B169" s="1">
        <v>163</v>
      </c>
      <c r="C169">
        <v>32</v>
      </c>
      <c r="D169" s="5">
        <v>45186</v>
      </c>
      <c r="E169" s="19">
        <v>1</v>
      </c>
      <c r="H169">
        <v>29.8</v>
      </c>
      <c r="I169"/>
      <c r="J169"/>
      <c r="K169" s="6">
        <v>0.19305362861863146</v>
      </c>
      <c r="L169" s="6">
        <v>0.11336373119940345</v>
      </c>
      <c r="M169" s="6">
        <f t="shared" si="3"/>
        <v>1.7029576088939402</v>
      </c>
      <c r="N169" s="12">
        <v>4.5900000000000003E-2</v>
      </c>
      <c r="R169" s="6"/>
      <c r="S169" s="6"/>
    </row>
    <row r="170" spans="1:19" x14ac:dyDescent="0.55000000000000004">
      <c r="A170" t="s">
        <v>15</v>
      </c>
      <c r="B170" s="1">
        <v>164</v>
      </c>
      <c r="C170">
        <v>32</v>
      </c>
      <c r="D170" s="5">
        <v>45186</v>
      </c>
      <c r="E170" s="19">
        <v>1</v>
      </c>
      <c r="H170">
        <v>40.299999999999997</v>
      </c>
      <c r="I170"/>
      <c r="J170"/>
      <c r="K170" s="6">
        <v>7.464740306587081E-2</v>
      </c>
      <c r="L170" s="6">
        <v>7.7354909284807913E-2</v>
      </c>
      <c r="M170" s="6">
        <f t="shared" si="3"/>
        <v>0.9649989090030664</v>
      </c>
      <c r="N170" s="12">
        <v>3.0099999999999998E-2</v>
      </c>
      <c r="R170" s="6"/>
      <c r="S170" s="6"/>
    </row>
    <row r="171" spans="1:19" x14ac:dyDescent="0.55000000000000004">
      <c r="A171" t="s">
        <v>15</v>
      </c>
      <c r="B171" s="1">
        <v>165</v>
      </c>
      <c r="C171">
        <v>32</v>
      </c>
      <c r="D171" s="5">
        <v>45186</v>
      </c>
      <c r="E171" s="19">
        <v>1</v>
      </c>
      <c r="H171">
        <v>55</v>
      </c>
      <c r="I171"/>
      <c r="J171"/>
      <c r="K171" s="6">
        <v>3.5007057989511842E-2</v>
      </c>
      <c r="L171" s="6">
        <v>4.9438671094198562E-2</v>
      </c>
      <c r="M171" s="6">
        <f t="shared" si="3"/>
        <v>0.70809059415878561</v>
      </c>
      <c r="N171" s="12">
        <v>2.4E-2</v>
      </c>
      <c r="R171" s="6"/>
      <c r="S171" s="6"/>
    </row>
    <row r="172" spans="1:19" x14ac:dyDescent="0.55000000000000004">
      <c r="A172" t="s">
        <v>15</v>
      </c>
      <c r="B172" s="1">
        <v>166</v>
      </c>
      <c r="C172">
        <v>33</v>
      </c>
      <c r="D172" s="5">
        <v>45187</v>
      </c>
      <c r="E172" s="19">
        <v>1</v>
      </c>
      <c r="H172">
        <v>2.5</v>
      </c>
      <c r="I172"/>
      <c r="J172"/>
      <c r="K172" s="6">
        <v>0.21879411243444902</v>
      </c>
      <c r="L172" s="6">
        <v>0.14552889018384449</v>
      </c>
      <c r="M172" s="6">
        <f t="shared" si="3"/>
        <v>1.5034410841589574</v>
      </c>
      <c r="N172" s="12">
        <v>4.5999999999999999E-2</v>
      </c>
    </row>
    <row r="173" spans="1:19" x14ac:dyDescent="0.55000000000000004">
      <c r="A173" t="s">
        <v>15</v>
      </c>
      <c r="B173" s="1">
        <v>167</v>
      </c>
      <c r="C173">
        <v>33</v>
      </c>
      <c r="D173" s="5">
        <v>45187</v>
      </c>
      <c r="E173" s="19">
        <v>1</v>
      </c>
      <c r="H173">
        <v>9.9</v>
      </c>
      <c r="I173"/>
      <c r="J173"/>
      <c r="K173" s="6">
        <v>0.34620950732274569</v>
      </c>
      <c r="L173" s="6">
        <v>0.11341653240430664</v>
      </c>
      <c r="M173" s="6">
        <f t="shared" si="3"/>
        <v>3.0525488655267639</v>
      </c>
      <c r="N173" s="12">
        <v>5.5100000000000003E-2</v>
      </c>
    </row>
    <row r="174" spans="1:19" x14ac:dyDescent="0.55000000000000004">
      <c r="A174" t="s">
        <v>15</v>
      </c>
      <c r="B174" s="1">
        <v>168</v>
      </c>
      <c r="C174">
        <v>33</v>
      </c>
      <c r="D174" s="5">
        <v>45187</v>
      </c>
      <c r="E174" s="19">
        <v>1</v>
      </c>
      <c r="H174">
        <v>19</v>
      </c>
      <c r="I174"/>
      <c r="J174"/>
      <c r="K174" s="6">
        <v>0.18661850766467705</v>
      </c>
      <c r="L174" s="6">
        <v>7.2750517378147764E-2</v>
      </c>
      <c r="M174" s="6">
        <f t="shared" si="3"/>
        <v>2.5651846116043164</v>
      </c>
      <c r="N174" s="12">
        <v>4.7300000000000002E-2</v>
      </c>
    </row>
    <row r="175" spans="1:19" x14ac:dyDescent="0.55000000000000004">
      <c r="A175" t="s">
        <v>15</v>
      </c>
      <c r="B175" s="1">
        <v>169</v>
      </c>
      <c r="C175">
        <v>33</v>
      </c>
      <c r="D175" s="5">
        <v>45187</v>
      </c>
      <c r="E175" s="19">
        <v>1</v>
      </c>
      <c r="H175">
        <v>30</v>
      </c>
      <c r="I175"/>
      <c r="J175"/>
      <c r="K175" s="6">
        <v>7.3360378875079943E-2</v>
      </c>
      <c r="L175" s="6">
        <v>7.7435565917260071E-2</v>
      </c>
      <c r="M175" s="6">
        <f t="shared" si="3"/>
        <v>0.9473731870632357</v>
      </c>
      <c r="N175" s="12">
        <v>4.0800000000000003E-2</v>
      </c>
    </row>
    <row r="176" spans="1:19" x14ac:dyDescent="0.55000000000000004">
      <c r="A176" t="s">
        <v>15</v>
      </c>
      <c r="B176" s="1">
        <v>170</v>
      </c>
      <c r="C176">
        <v>33</v>
      </c>
      <c r="D176" s="5">
        <v>45187</v>
      </c>
      <c r="E176" s="19">
        <v>1</v>
      </c>
      <c r="H176">
        <v>39</v>
      </c>
      <c r="I176"/>
      <c r="J176"/>
      <c r="K176" s="6">
        <v>5.9203112776380303E-2</v>
      </c>
      <c r="L176" s="6">
        <v>8.6767361782604815E-2</v>
      </c>
      <c r="M176" s="6">
        <f t="shared" si="3"/>
        <v>0.68232007473862577</v>
      </c>
      <c r="N176" s="12">
        <v>3.0099999999999998E-2</v>
      </c>
    </row>
    <row r="177" spans="1:14" x14ac:dyDescent="0.55000000000000004">
      <c r="A177" t="s">
        <v>15</v>
      </c>
      <c r="B177" s="1">
        <v>171</v>
      </c>
      <c r="C177">
        <v>33</v>
      </c>
      <c r="D177" s="5">
        <v>45187</v>
      </c>
      <c r="E177" s="19">
        <v>1</v>
      </c>
      <c r="H177">
        <v>55</v>
      </c>
      <c r="I177"/>
      <c r="J177"/>
      <c r="K177" s="6">
        <v>2.9987663645427418E-2</v>
      </c>
      <c r="L177" s="6">
        <v>4.8426227646589395E-2</v>
      </c>
      <c r="M177" s="6">
        <f t="shared" si="3"/>
        <v>0.6192442629286532</v>
      </c>
      <c r="N177" s="12">
        <v>2.4899999999999999E-2</v>
      </c>
    </row>
    <row r="178" spans="1:14" x14ac:dyDescent="0.55000000000000004">
      <c r="A178" t="s">
        <v>15</v>
      </c>
      <c r="B178" s="1">
        <v>172</v>
      </c>
      <c r="C178">
        <v>34</v>
      </c>
      <c r="D178" s="5">
        <v>45187</v>
      </c>
      <c r="E178" s="19">
        <v>1</v>
      </c>
      <c r="H178">
        <v>2.7</v>
      </c>
      <c r="I178"/>
      <c r="J178"/>
      <c r="K178" s="6">
        <v>0.24839566882263908</v>
      </c>
      <c r="L178" s="6">
        <v>0.2124367384627521</v>
      </c>
      <c r="M178" s="6">
        <f t="shared" si="3"/>
        <v>1.1692688873878183</v>
      </c>
      <c r="N178" s="12">
        <v>4.2599999999999999E-2</v>
      </c>
    </row>
    <row r="179" spans="1:14" x14ac:dyDescent="0.55000000000000004">
      <c r="A179" t="s">
        <v>15</v>
      </c>
      <c r="B179" s="1">
        <v>173</v>
      </c>
      <c r="C179">
        <v>34</v>
      </c>
      <c r="D179" s="5">
        <v>45187</v>
      </c>
      <c r="E179" s="19">
        <v>1</v>
      </c>
      <c r="H179">
        <v>10</v>
      </c>
      <c r="I179"/>
      <c r="J179"/>
      <c r="K179" s="6">
        <v>0.33076521703325523</v>
      </c>
      <c r="L179" s="6">
        <v>0.20244924375245912</v>
      </c>
      <c r="M179" s="6">
        <f t="shared" si="3"/>
        <v>1.6338179926109873</v>
      </c>
      <c r="N179" s="12">
        <v>4.3999999999999997E-2</v>
      </c>
    </row>
    <row r="180" spans="1:14" x14ac:dyDescent="0.55000000000000004">
      <c r="A180" t="s">
        <v>15</v>
      </c>
      <c r="B180" s="1">
        <v>174</v>
      </c>
      <c r="C180">
        <v>34</v>
      </c>
      <c r="D180" s="5">
        <v>45187</v>
      </c>
      <c r="E180" s="19">
        <v>1</v>
      </c>
      <c r="H180">
        <v>20</v>
      </c>
      <c r="I180"/>
      <c r="J180"/>
      <c r="K180" s="6">
        <v>0.13513754003304201</v>
      </c>
      <c r="L180" s="6">
        <v>0.11337417698473433</v>
      </c>
      <c r="M180" s="6">
        <f t="shared" si="3"/>
        <v>1.1919604942423361</v>
      </c>
      <c r="N180" s="12">
        <v>4.3999999999999997E-2</v>
      </c>
    </row>
    <row r="181" spans="1:14" x14ac:dyDescent="0.55000000000000004">
      <c r="A181" t="s">
        <v>15</v>
      </c>
      <c r="B181" s="1">
        <v>175</v>
      </c>
      <c r="C181">
        <v>34</v>
      </c>
      <c r="D181" s="5">
        <v>45187</v>
      </c>
      <c r="E181" s="19">
        <v>1</v>
      </c>
      <c r="H181">
        <v>30</v>
      </c>
      <c r="I181"/>
      <c r="J181"/>
      <c r="K181" s="6">
        <v>6.3064185348752938E-2</v>
      </c>
      <c r="L181" s="6">
        <v>6.3604408276812657E-2</v>
      </c>
      <c r="M181" s="6">
        <f t="shared" si="3"/>
        <v>0.99150651750883967</v>
      </c>
      <c r="N181" s="12">
        <v>3.4500000000000003E-2</v>
      </c>
    </row>
    <row r="182" spans="1:14" x14ac:dyDescent="0.55000000000000004">
      <c r="A182" t="s">
        <v>15</v>
      </c>
      <c r="B182" s="1">
        <v>176</v>
      </c>
      <c r="C182">
        <v>34</v>
      </c>
      <c r="D182" s="5">
        <v>45187</v>
      </c>
      <c r="E182" s="19">
        <v>1</v>
      </c>
      <c r="H182">
        <v>40</v>
      </c>
      <c r="I182"/>
      <c r="J182"/>
      <c r="K182" s="6">
        <v>2.7799722521082929E-2</v>
      </c>
      <c r="L182" s="6">
        <v>4.4702967735074137E-2</v>
      </c>
      <c r="M182" s="6">
        <f t="shared" si="3"/>
        <v>0.62187644198108016</v>
      </c>
      <c r="N182" s="12">
        <v>2.4199999999999999E-2</v>
      </c>
    </row>
    <row r="183" spans="1:14" x14ac:dyDescent="0.55000000000000004">
      <c r="A183" t="s">
        <v>15</v>
      </c>
      <c r="B183" s="1">
        <v>177</v>
      </c>
      <c r="C183">
        <v>34</v>
      </c>
      <c r="D183" s="5">
        <v>45187</v>
      </c>
      <c r="E183" s="19">
        <v>1</v>
      </c>
      <c r="H183">
        <v>55</v>
      </c>
      <c r="I183"/>
      <c r="J183"/>
      <c r="K183" s="6">
        <v>1.8533148347388624E-2</v>
      </c>
      <c r="L183" s="6">
        <v>4.0458225255374777E-2</v>
      </c>
      <c r="M183" s="6">
        <f t="shared" si="3"/>
        <v>0.45808110045377087</v>
      </c>
      <c r="N183" s="12">
        <v>2.2200000000000001E-2</v>
      </c>
    </row>
    <row r="184" spans="1:14" x14ac:dyDescent="0.55000000000000004">
      <c r="A184" t="s">
        <v>15</v>
      </c>
      <c r="B184" s="1">
        <v>178</v>
      </c>
      <c r="C184">
        <v>37</v>
      </c>
      <c r="D184" s="5">
        <v>45188</v>
      </c>
      <c r="E184" s="19">
        <v>1</v>
      </c>
      <c r="H184">
        <v>3.1</v>
      </c>
      <c r="I184"/>
      <c r="J184"/>
      <c r="K184" s="6">
        <v>0.20721089471733109</v>
      </c>
      <c r="L184" s="6">
        <v>0.13781022696754286</v>
      </c>
      <c r="M184" s="6">
        <f t="shared" si="3"/>
        <v>1.5035959179294691</v>
      </c>
      <c r="N184" s="12">
        <v>3.4799999999999998E-2</v>
      </c>
    </row>
    <row r="185" spans="1:14" x14ac:dyDescent="0.55000000000000004">
      <c r="A185" t="s">
        <v>15</v>
      </c>
      <c r="B185" s="1">
        <v>179</v>
      </c>
      <c r="C185">
        <v>37</v>
      </c>
      <c r="D185" s="5">
        <v>45188</v>
      </c>
      <c r="E185" s="19">
        <v>1</v>
      </c>
      <c r="H185">
        <v>9.8000000000000007</v>
      </c>
      <c r="I185"/>
      <c r="J185"/>
      <c r="K185" s="6">
        <v>0.16860016899360478</v>
      </c>
      <c r="L185" s="6">
        <v>0.15953180687452706</v>
      </c>
      <c r="M185" s="6">
        <f t="shared" si="3"/>
        <v>1.0568435993846046</v>
      </c>
      <c r="N185" s="12">
        <v>4.0300000000000002E-2</v>
      </c>
    </row>
    <row r="186" spans="1:14" x14ac:dyDescent="0.55000000000000004">
      <c r="A186" t="s">
        <v>15</v>
      </c>
      <c r="B186" s="1">
        <v>180</v>
      </c>
      <c r="C186">
        <v>37</v>
      </c>
      <c r="D186" s="5">
        <v>45188</v>
      </c>
      <c r="E186" s="19">
        <v>1</v>
      </c>
      <c r="H186">
        <v>20</v>
      </c>
      <c r="I186"/>
      <c r="J186"/>
      <c r="K186" s="6">
        <v>0.17632231413835009</v>
      </c>
      <c r="L186" s="6">
        <v>0.16628607242984639</v>
      </c>
      <c r="M186" s="6">
        <f t="shared" si="3"/>
        <v>1.0603552754710581</v>
      </c>
      <c r="N186" s="12">
        <v>4.0300000000000002E-2</v>
      </c>
    </row>
    <row r="187" spans="1:14" x14ac:dyDescent="0.55000000000000004">
      <c r="A187" t="s">
        <v>15</v>
      </c>
      <c r="B187" s="1">
        <v>181</v>
      </c>
      <c r="C187">
        <v>37</v>
      </c>
      <c r="D187" s="5">
        <v>45188</v>
      </c>
      <c r="E187" s="19">
        <v>1</v>
      </c>
      <c r="H187">
        <v>30</v>
      </c>
      <c r="I187"/>
      <c r="J187"/>
      <c r="K187" s="6">
        <v>0.13385051584225116</v>
      </c>
      <c r="L187" s="6">
        <v>0.12793124431725109</v>
      </c>
      <c r="M187" s="6">
        <f t="shared" si="3"/>
        <v>1.0462691624441729</v>
      </c>
      <c r="N187" s="12">
        <v>4.1700000000000001E-2</v>
      </c>
    </row>
    <row r="188" spans="1:14" x14ac:dyDescent="0.55000000000000004">
      <c r="A188" t="s">
        <v>15</v>
      </c>
      <c r="B188" s="1">
        <v>182</v>
      </c>
      <c r="C188">
        <v>37</v>
      </c>
      <c r="D188" s="5">
        <v>45188</v>
      </c>
      <c r="E188" s="19">
        <v>1</v>
      </c>
      <c r="H188">
        <v>40</v>
      </c>
      <c r="I188"/>
      <c r="J188"/>
      <c r="K188" s="6">
        <v>0.11454515298038798</v>
      </c>
      <c r="L188" s="6">
        <v>7.9680023912145986E-2</v>
      </c>
      <c r="M188" s="6">
        <f t="shared" si="3"/>
        <v>1.4375642395223647</v>
      </c>
      <c r="N188" s="12">
        <v>3.9300000000000002E-2</v>
      </c>
    </row>
    <row r="189" spans="1:14" x14ac:dyDescent="0.55000000000000004">
      <c r="A189" t="s">
        <v>15</v>
      </c>
      <c r="B189" s="1">
        <v>183</v>
      </c>
      <c r="C189">
        <v>37</v>
      </c>
      <c r="D189" s="5">
        <v>45188</v>
      </c>
      <c r="E189" s="19">
        <v>1</v>
      </c>
      <c r="H189">
        <v>55</v>
      </c>
      <c r="I189"/>
      <c r="J189"/>
      <c r="K189" s="6">
        <v>8.10825240198252E-2</v>
      </c>
      <c r="L189" s="6">
        <v>4.076059937238552E-2</v>
      </c>
      <c r="M189" s="6">
        <f t="shared" si="3"/>
        <v>1.9892377754081056</v>
      </c>
      <c r="N189" s="12">
        <v>3.0300000000000001E-2</v>
      </c>
    </row>
    <row r="190" spans="1:14" x14ac:dyDescent="0.55000000000000004">
      <c r="A190" t="s">
        <v>15</v>
      </c>
      <c r="B190" s="1">
        <v>184</v>
      </c>
      <c r="C190">
        <v>38</v>
      </c>
      <c r="D190" s="5">
        <v>45189</v>
      </c>
      <c r="E190" s="19">
        <v>1</v>
      </c>
      <c r="H190">
        <v>2.5</v>
      </c>
      <c r="I190"/>
      <c r="J190"/>
      <c r="K190" s="6">
        <v>0.2509697172042209</v>
      </c>
      <c r="L190" s="6">
        <v>0.19176717670608937</v>
      </c>
      <c r="M190" s="6">
        <f t="shared" si="3"/>
        <v>1.3087209266728055</v>
      </c>
      <c r="N190" s="12">
        <v>5.8999999999999997E-2</v>
      </c>
    </row>
    <row r="191" spans="1:14" x14ac:dyDescent="0.55000000000000004">
      <c r="A191" t="s">
        <v>15</v>
      </c>
      <c r="B191" s="1">
        <v>185</v>
      </c>
      <c r="C191">
        <v>38</v>
      </c>
      <c r="D191" s="5">
        <v>45189</v>
      </c>
      <c r="E191" s="19">
        <v>1</v>
      </c>
      <c r="H191">
        <v>10</v>
      </c>
      <c r="I191"/>
      <c r="J191"/>
      <c r="K191" s="6">
        <v>0.19562767700021325</v>
      </c>
      <c r="L191" s="6">
        <v>0.23022007109335502</v>
      </c>
      <c r="M191" s="6">
        <f t="shared" si="3"/>
        <v>0.84974205798453417</v>
      </c>
      <c r="N191" s="12">
        <v>5.4899999999999997E-2</v>
      </c>
    </row>
    <row r="192" spans="1:14" x14ac:dyDescent="0.55000000000000004">
      <c r="A192" t="s">
        <v>15</v>
      </c>
      <c r="B192" s="1">
        <v>186</v>
      </c>
      <c r="C192">
        <v>38</v>
      </c>
      <c r="D192" s="5">
        <v>45189</v>
      </c>
      <c r="E192" s="19">
        <v>1</v>
      </c>
      <c r="H192">
        <v>19</v>
      </c>
      <c r="I192"/>
      <c r="J192"/>
      <c r="K192" s="6">
        <v>0.14414670936857818</v>
      </c>
      <c r="L192" s="6">
        <v>0.14538150463271463</v>
      </c>
      <c r="M192" s="6">
        <f t="shared" si="3"/>
        <v>0.99150651750884011</v>
      </c>
      <c r="N192" s="12">
        <v>4.7899999999999998E-2</v>
      </c>
    </row>
    <row r="193" spans="1:14" x14ac:dyDescent="0.55000000000000004">
      <c r="A193" t="s">
        <v>15</v>
      </c>
      <c r="B193" s="1">
        <v>187</v>
      </c>
      <c r="C193">
        <v>38</v>
      </c>
      <c r="D193" s="5">
        <v>45189</v>
      </c>
      <c r="E193" s="19">
        <v>1</v>
      </c>
      <c r="H193">
        <v>30</v>
      </c>
      <c r="I193"/>
      <c r="J193"/>
      <c r="K193" s="6">
        <v>0.10038788688168834</v>
      </c>
      <c r="L193" s="6">
        <v>8.780545221915198E-2</v>
      </c>
      <c r="M193" s="6">
        <f t="shared" si="3"/>
        <v>1.1432990132677878</v>
      </c>
      <c r="N193" s="12">
        <v>4.0300000000000002E-2</v>
      </c>
    </row>
    <row r="194" spans="1:14" x14ac:dyDescent="0.55000000000000004">
      <c r="A194" t="s">
        <v>15</v>
      </c>
      <c r="B194" s="1">
        <v>188</v>
      </c>
      <c r="C194">
        <v>38</v>
      </c>
      <c r="D194" s="5">
        <v>45189</v>
      </c>
      <c r="E194" s="19">
        <v>1</v>
      </c>
      <c r="H194">
        <v>40</v>
      </c>
      <c r="I194"/>
      <c r="J194"/>
      <c r="K194" s="6">
        <v>5.9203112776380303E-2</v>
      </c>
      <c r="L194" s="6">
        <v>4.0925394565733457E-2</v>
      </c>
      <c r="M194" s="6">
        <f t="shared" si="3"/>
        <v>1.4466106779078105</v>
      </c>
      <c r="N194" s="12">
        <v>3.2300000000000002E-2</v>
      </c>
    </row>
    <row r="195" spans="1:14" x14ac:dyDescent="0.55000000000000004">
      <c r="A195" t="s">
        <v>15</v>
      </c>
      <c r="B195" s="1">
        <v>189</v>
      </c>
      <c r="C195">
        <v>38</v>
      </c>
      <c r="D195" s="5">
        <v>45189</v>
      </c>
      <c r="E195" s="19">
        <v>1</v>
      </c>
      <c r="H195">
        <v>55</v>
      </c>
      <c r="I195"/>
      <c r="J195"/>
      <c r="K195" s="6">
        <v>7.8508475638243452E-2</v>
      </c>
      <c r="L195" s="6">
        <v>5.2985588220677053E-2</v>
      </c>
      <c r="M195" s="6">
        <f t="shared" ref="M195:M231" si="4">K195/L195</f>
        <v>1.481694896190779</v>
      </c>
      <c r="N195" s="12">
        <v>3.3000000000000002E-2</v>
      </c>
    </row>
    <row r="196" spans="1:14" x14ac:dyDescent="0.55000000000000004">
      <c r="A196" t="s">
        <v>15</v>
      </c>
      <c r="B196" s="1">
        <v>190</v>
      </c>
      <c r="C196">
        <v>40</v>
      </c>
      <c r="D196" s="5">
        <v>45190</v>
      </c>
      <c r="E196" s="19">
        <v>1</v>
      </c>
      <c r="H196">
        <v>3.3</v>
      </c>
      <c r="I196"/>
      <c r="J196"/>
      <c r="K196" s="6">
        <v>0.1441467093685781</v>
      </c>
      <c r="L196" s="6">
        <v>0.19484257452460227</v>
      </c>
      <c r="M196" s="6">
        <f t="shared" si="4"/>
        <v>0.73981115123469621</v>
      </c>
      <c r="N196" s="13">
        <v>4.8500000000000001E-2</v>
      </c>
    </row>
    <row r="197" spans="1:14" x14ac:dyDescent="0.55000000000000004">
      <c r="A197" t="s">
        <v>15</v>
      </c>
      <c r="B197" s="1">
        <v>191</v>
      </c>
      <c r="C197">
        <v>40</v>
      </c>
      <c r="D197" s="5">
        <v>45190</v>
      </c>
      <c r="E197" s="19">
        <v>1</v>
      </c>
      <c r="H197">
        <v>10</v>
      </c>
      <c r="I197"/>
      <c r="J197"/>
      <c r="K197" s="6">
        <v>0.17246124156597742</v>
      </c>
      <c r="L197" s="6">
        <v>0.18462355570228378</v>
      </c>
      <c r="M197" s="6">
        <f t="shared" si="4"/>
        <v>0.93412371411631356</v>
      </c>
      <c r="N197" s="13">
        <v>4.53E-2</v>
      </c>
    </row>
    <row r="198" spans="1:14" x14ac:dyDescent="0.55000000000000004">
      <c r="A198" t="s">
        <v>15</v>
      </c>
      <c r="B198" s="1">
        <v>192</v>
      </c>
      <c r="C198">
        <v>40</v>
      </c>
      <c r="D198" s="5">
        <v>45190</v>
      </c>
      <c r="E198" s="19">
        <v>1</v>
      </c>
      <c r="H198">
        <v>20</v>
      </c>
      <c r="I198"/>
      <c r="J198"/>
      <c r="K198" s="6">
        <v>3.732370153293544E-2</v>
      </c>
      <c r="L198" s="6">
        <v>0.28477643654350276</v>
      </c>
      <c r="M198" s="6">
        <f t="shared" si="4"/>
        <v>0.1310631665525242</v>
      </c>
      <c r="N198" s="13">
        <v>4.2799999999999998E-2</v>
      </c>
    </row>
    <row r="199" spans="1:14" x14ac:dyDescent="0.55000000000000004">
      <c r="A199" t="s">
        <v>15</v>
      </c>
      <c r="B199" s="1">
        <v>193</v>
      </c>
      <c r="C199">
        <v>40</v>
      </c>
      <c r="D199" s="5">
        <v>45190</v>
      </c>
      <c r="E199" s="19">
        <v>1</v>
      </c>
      <c r="H199">
        <v>30</v>
      </c>
      <c r="I199"/>
      <c r="J199"/>
      <c r="K199" s="6">
        <v>8.4943596592197815E-2</v>
      </c>
      <c r="L199" s="6">
        <v>0.11169431541701358</v>
      </c>
      <c r="M199" s="6">
        <f t="shared" si="4"/>
        <v>0.76050062418180131</v>
      </c>
      <c r="N199" s="13">
        <v>4.0300000000000002E-2</v>
      </c>
    </row>
    <row r="200" spans="1:14" x14ac:dyDescent="0.55000000000000004">
      <c r="A200" t="s">
        <v>15</v>
      </c>
      <c r="B200" s="1">
        <v>194</v>
      </c>
      <c r="C200">
        <v>40</v>
      </c>
      <c r="D200" s="5">
        <v>45190</v>
      </c>
      <c r="E200" s="19">
        <v>1</v>
      </c>
      <c r="H200">
        <v>40</v>
      </c>
      <c r="I200"/>
      <c r="J200"/>
      <c r="K200" s="6">
        <v>7.8508475638243425E-2</v>
      </c>
      <c r="L200" s="6">
        <v>6.3842896245725533E-2</v>
      </c>
      <c r="M200" s="6">
        <f t="shared" si="4"/>
        <v>1.2297135665034902</v>
      </c>
      <c r="N200" s="13">
        <v>3.1800000000000002E-2</v>
      </c>
    </row>
    <row r="201" spans="1:14" x14ac:dyDescent="0.55000000000000004">
      <c r="A201" t="s">
        <v>15</v>
      </c>
      <c r="B201" s="1">
        <v>195</v>
      </c>
      <c r="C201">
        <v>40</v>
      </c>
      <c r="D201" s="5">
        <v>45190</v>
      </c>
      <c r="E201" s="19">
        <v>1</v>
      </c>
      <c r="H201">
        <v>55</v>
      </c>
      <c r="I201"/>
      <c r="J201"/>
      <c r="K201" s="6">
        <v>6.7182662759283723E-2</v>
      </c>
      <c r="L201" s="6">
        <v>3.5117306187839738E-2</v>
      </c>
      <c r="M201" s="6">
        <f t="shared" si="4"/>
        <v>1.9130927184428352</v>
      </c>
      <c r="N201" s="13">
        <v>2.7699999999999999E-2</v>
      </c>
    </row>
    <row r="202" spans="1:14" x14ac:dyDescent="0.55000000000000004">
      <c r="A202" t="s">
        <v>15</v>
      </c>
      <c r="B202" s="1">
        <v>196</v>
      </c>
      <c r="C202">
        <v>41</v>
      </c>
      <c r="D202" s="5">
        <v>45190</v>
      </c>
      <c r="E202" s="19">
        <v>1</v>
      </c>
      <c r="H202">
        <v>2.9</v>
      </c>
      <c r="I202"/>
      <c r="J202"/>
      <c r="K202" s="6">
        <v>0.10553598364485185</v>
      </c>
      <c r="L202" s="6">
        <v>0.12126111732282757</v>
      </c>
      <c r="M202" s="6">
        <f t="shared" si="4"/>
        <v>0.87032006610897816</v>
      </c>
      <c r="N202" s="12">
        <v>3.1E-2</v>
      </c>
    </row>
    <row r="203" spans="1:14" x14ac:dyDescent="0.55000000000000004">
      <c r="A203" t="s">
        <v>15</v>
      </c>
      <c r="B203" s="1">
        <v>197</v>
      </c>
      <c r="C203">
        <v>41</v>
      </c>
      <c r="D203" s="5">
        <v>45190</v>
      </c>
      <c r="E203" s="19">
        <v>1</v>
      </c>
      <c r="H203">
        <v>9.8000000000000007</v>
      </c>
      <c r="I203"/>
      <c r="J203"/>
      <c r="K203" s="6">
        <v>9.395276592773398E-2</v>
      </c>
      <c r="L203" s="6">
        <v>0.11474882166486459</v>
      </c>
      <c r="M203" s="6">
        <f t="shared" si="4"/>
        <v>0.81876889509273065</v>
      </c>
      <c r="N203" s="12">
        <v>2.9600000000000001E-2</v>
      </c>
    </row>
    <row r="204" spans="1:14" x14ac:dyDescent="0.55000000000000004">
      <c r="A204" t="s">
        <v>15</v>
      </c>
      <c r="B204" s="1">
        <v>198</v>
      </c>
      <c r="C204">
        <v>41</v>
      </c>
      <c r="D204" s="5">
        <v>45190</v>
      </c>
      <c r="E204" s="19">
        <v>1</v>
      </c>
      <c r="H204">
        <v>19.8</v>
      </c>
      <c r="I204"/>
      <c r="J204"/>
      <c r="K204" s="6">
        <v>9.9100862690897462E-2</v>
      </c>
      <c r="L204" s="6">
        <v>0.13010897339345939</v>
      </c>
      <c r="M204" s="6">
        <f t="shared" si="4"/>
        <v>0.76167584837679836</v>
      </c>
      <c r="N204" s="12">
        <v>3.1300000000000001E-2</v>
      </c>
    </row>
    <row r="205" spans="1:14" x14ac:dyDescent="0.55000000000000004">
      <c r="A205" t="s">
        <v>15</v>
      </c>
      <c r="B205" s="1">
        <v>199</v>
      </c>
      <c r="C205">
        <v>41</v>
      </c>
      <c r="D205" s="5">
        <v>45190</v>
      </c>
      <c r="E205" s="19">
        <v>1</v>
      </c>
      <c r="H205">
        <v>30.2</v>
      </c>
      <c r="I205"/>
      <c r="J205"/>
      <c r="K205" s="6">
        <v>0.11068408040801538</v>
      </c>
      <c r="L205" s="6">
        <v>0.13300216637640605</v>
      </c>
      <c r="M205" s="6">
        <f t="shared" si="4"/>
        <v>0.8321975756001686</v>
      </c>
      <c r="N205" s="12">
        <v>3.4200000000000001E-2</v>
      </c>
    </row>
    <row r="206" spans="1:14" x14ac:dyDescent="0.55000000000000004">
      <c r="A206" t="s">
        <v>15</v>
      </c>
      <c r="B206" s="1">
        <v>200</v>
      </c>
      <c r="C206">
        <v>41</v>
      </c>
      <c r="D206" s="5">
        <v>45190</v>
      </c>
      <c r="E206" s="19">
        <v>1</v>
      </c>
      <c r="H206">
        <v>40</v>
      </c>
      <c r="I206"/>
      <c r="J206"/>
      <c r="K206" s="6">
        <v>7.9795499829034347E-2</v>
      </c>
      <c r="L206" s="6">
        <v>0.10839783927180598</v>
      </c>
      <c r="M206" s="6">
        <f t="shared" si="4"/>
        <v>0.73613552045948361</v>
      </c>
      <c r="N206" s="12">
        <v>3.3000000000000002E-2</v>
      </c>
    </row>
    <row r="207" spans="1:14" x14ac:dyDescent="0.55000000000000004">
      <c r="A207" t="s">
        <v>15</v>
      </c>
      <c r="B207" s="1">
        <v>201</v>
      </c>
      <c r="C207">
        <v>41</v>
      </c>
      <c r="D207" s="5">
        <v>45190</v>
      </c>
      <c r="E207" s="19">
        <v>1</v>
      </c>
      <c r="H207">
        <v>54.8</v>
      </c>
      <c r="I207"/>
      <c r="J207"/>
      <c r="K207" s="6">
        <v>6.0361434548092091E-2</v>
      </c>
      <c r="L207" s="6">
        <v>5.9189590483275073E-2</v>
      </c>
      <c r="M207" s="6">
        <f t="shared" si="4"/>
        <v>1.0197981444921154</v>
      </c>
      <c r="N207" s="12">
        <v>2.98E-2</v>
      </c>
    </row>
    <row r="208" spans="1:14" x14ac:dyDescent="0.55000000000000004">
      <c r="A208" t="s">
        <v>15</v>
      </c>
      <c r="B208" s="1">
        <v>202</v>
      </c>
      <c r="C208">
        <v>42</v>
      </c>
      <c r="D208" s="5">
        <v>45191</v>
      </c>
      <c r="E208" s="19">
        <v>1</v>
      </c>
      <c r="H208">
        <v>3.8</v>
      </c>
      <c r="I208"/>
      <c r="J208"/>
      <c r="K208" s="6">
        <v>0.12484134650671504</v>
      </c>
      <c r="L208" s="6">
        <v>9.1098446435915845E-2</v>
      </c>
      <c r="M208" s="6">
        <f t="shared" si="4"/>
        <v>1.3704003898083597</v>
      </c>
      <c r="N208" s="12">
        <v>3.5000000000000003E-2</v>
      </c>
    </row>
    <row r="209" spans="1:14" x14ac:dyDescent="0.55000000000000004">
      <c r="A209" t="s">
        <v>15</v>
      </c>
      <c r="B209" s="1">
        <v>203</v>
      </c>
      <c r="C209">
        <v>42</v>
      </c>
      <c r="D209" s="5">
        <v>45191</v>
      </c>
      <c r="E209" s="19">
        <v>1</v>
      </c>
      <c r="H209">
        <v>9</v>
      </c>
      <c r="I209"/>
      <c r="J209"/>
      <c r="K209" s="6">
        <v>0.11325812878959708</v>
      </c>
      <c r="L209" s="6">
        <v>9.9062561478017674E-2</v>
      </c>
      <c r="M209" s="6">
        <f t="shared" si="4"/>
        <v>1.1432990132677869</v>
      </c>
      <c r="N209" s="12">
        <v>3.3000000000000002E-2</v>
      </c>
    </row>
    <row r="210" spans="1:14" x14ac:dyDescent="0.55000000000000004">
      <c r="A210" t="s">
        <v>15</v>
      </c>
      <c r="B210" s="1">
        <v>204</v>
      </c>
      <c r="C210">
        <v>42</v>
      </c>
      <c r="D210" s="5">
        <v>45191</v>
      </c>
      <c r="E210" s="19">
        <v>1</v>
      </c>
      <c r="H210">
        <v>20</v>
      </c>
      <c r="I210"/>
      <c r="J210"/>
      <c r="K210" s="6">
        <v>9.5239790118524834E-2</v>
      </c>
      <c r="L210" s="6">
        <v>0.22444761284123604</v>
      </c>
      <c r="M210" s="6">
        <f t="shared" si="4"/>
        <v>0.42432970844690204</v>
      </c>
      <c r="N210" s="12">
        <v>3.4799999999999998E-2</v>
      </c>
    </row>
    <row r="211" spans="1:14" x14ac:dyDescent="0.55000000000000004">
      <c r="A211" t="s">
        <v>15</v>
      </c>
      <c r="B211" s="1">
        <v>205</v>
      </c>
      <c r="C211">
        <v>42</v>
      </c>
      <c r="D211" s="5">
        <v>45191</v>
      </c>
      <c r="E211" s="19">
        <v>1</v>
      </c>
      <c r="H211">
        <v>30</v>
      </c>
      <c r="I211"/>
      <c r="J211"/>
      <c r="K211" s="6">
        <v>8.6230620782988709E-2</v>
      </c>
      <c r="L211" s="6">
        <v>0.15263015576807784</v>
      </c>
      <c r="M211" s="6">
        <f t="shared" si="4"/>
        <v>0.56496450749887528</v>
      </c>
      <c r="N211" s="12">
        <v>3.56E-2</v>
      </c>
    </row>
    <row r="212" spans="1:14" x14ac:dyDescent="0.55000000000000004">
      <c r="A212" t="s">
        <v>15</v>
      </c>
      <c r="B212" s="1">
        <v>206</v>
      </c>
      <c r="C212">
        <v>42</v>
      </c>
      <c r="D212" s="5">
        <v>45191</v>
      </c>
      <c r="E212" s="19">
        <v>1</v>
      </c>
      <c r="H212">
        <v>39</v>
      </c>
      <c r="I212"/>
      <c r="J212"/>
      <c r="K212" s="6">
        <v>8.7517644973779549E-2</v>
      </c>
      <c r="L212" s="6">
        <v>0.16702590983569041</v>
      </c>
      <c r="M212" s="6">
        <f t="shared" si="4"/>
        <v>0.5239764600586454</v>
      </c>
      <c r="N212" s="12">
        <v>3.7400000000000003E-2</v>
      </c>
    </row>
    <row r="213" spans="1:14" x14ac:dyDescent="0.55000000000000004">
      <c r="A213" t="s">
        <v>15</v>
      </c>
      <c r="B213" s="1">
        <v>207</v>
      </c>
      <c r="C213">
        <v>42</v>
      </c>
      <c r="D213" s="5">
        <v>45191</v>
      </c>
      <c r="E213" s="19">
        <v>1</v>
      </c>
      <c r="H213">
        <v>55</v>
      </c>
      <c r="I213"/>
      <c r="J213"/>
      <c r="K213" s="6">
        <v>6.8212282111916447E-2</v>
      </c>
      <c r="L213" s="6">
        <v>8.2583662680423567E-2</v>
      </c>
      <c r="M213" s="6">
        <f t="shared" si="4"/>
        <v>0.82597792224207256</v>
      </c>
      <c r="N213" s="12">
        <v>3.5099999999999999E-2</v>
      </c>
    </row>
    <row r="214" spans="1:14" x14ac:dyDescent="0.55000000000000004">
      <c r="A214" t="s">
        <v>15</v>
      </c>
      <c r="B214" s="1">
        <v>208</v>
      </c>
      <c r="C214">
        <v>43</v>
      </c>
      <c r="D214" s="5">
        <v>45191</v>
      </c>
      <c r="E214" s="19">
        <v>1</v>
      </c>
      <c r="H214">
        <v>2.9</v>
      </c>
      <c r="I214"/>
      <c r="J214"/>
      <c r="K214" s="6">
        <v>0.22522923338840337</v>
      </c>
      <c r="L214" s="6">
        <v>0.11737915317979314</v>
      </c>
      <c r="M214" s="6">
        <f t="shared" si="4"/>
        <v>1.9188180122871823</v>
      </c>
      <c r="N214" s="12">
        <v>4.2999999999999997E-2</v>
      </c>
    </row>
    <row r="215" spans="1:14" x14ac:dyDescent="0.55000000000000004">
      <c r="A215" t="s">
        <v>15</v>
      </c>
      <c r="B215" s="1">
        <v>209</v>
      </c>
      <c r="C215">
        <v>43</v>
      </c>
      <c r="D215" s="5">
        <v>45191</v>
      </c>
      <c r="E215" s="19">
        <v>1</v>
      </c>
      <c r="H215">
        <v>9.9</v>
      </c>
      <c r="I215"/>
      <c r="J215"/>
      <c r="K215" s="6">
        <v>0.19047958023704969</v>
      </c>
      <c r="L215" s="6">
        <v>0.1147314120226465</v>
      </c>
      <c r="M215" s="6">
        <f t="shared" si="4"/>
        <v>1.6602217028362858</v>
      </c>
      <c r="N215" s="12">
        <v>4.3400000000000001E-2</v>
      </c>
    </row>
    <row r="216" spans="1:14" x14ac:dyDescent="0.55000000000000004">
      <c r="A216" t="s">
        <v>15</v>
      </c>
      <c r="B216" s="1">
        <v>210</v>
      </c>
      <c r="C216">
        <v>43</v>
      </c>
      <c r="D216" s="5">
        <v>45191</v>
      </c>
      <c r="E216" s="19">
        <v>1</v>
      </c>
      <c r="H216">
        <v>20</v>
      </c>
      <c r="I216"/>
      <c r="J216"/>
      <c r="K216" s="6">
        <v>0.14543373355936898</v>
      </c>
      <c r="L216" s="6">
        <v>0.12599896706684308</v>
      </c>
      <c r="M216" s="6">
        <f t="shared" si="4"/>
        <v>1.1542454429980815</v>
      </c>
      <c r="N216" s="12">
        <v>3.9199999999999999E-2</v>
      </c>
    </row>
    <row r="217" spans="1:14" x14ac:dyDescent="0.55000000000000004">
      <c r="A217" t="s">
        <v>15</v>
      </c>
      <c r="B217" s="1">
        <v>211</v>
      </c>
      <c r="C217">
        <v>43</v>
      </c>
      <c r="D217" s="5">
        <v>45191</v>
      </c>
      <c r="E217" s="19">
        <v>1</v>
      </c>
      <c r="H217">
        <v>30</v>
      </c>
      <c r="I217"/>
      <c r="J217"/>
      <c r="K217" s="6">
        <v>0.12612837069750585</v>
      </c>
      <c r="L217" s="6">
        <v>0.20079723761228729</v>
      </c>
      <c r="M217" s="6">
        <f t="shared" si="4"/>
        <v>0.62813797738115762</v>
      </c>
      <c r="N217" s="12">
        <v>4.5199999999999997E-2</v>
      </c>
    </row>
    <row r="218" spans="1:14" x14ac:dyDescent="0.55000000000000004">
      <c r="A218" t="s">
        <v>15</v>
      </c>
      <c r="B218" s="1">
        <v>212</v>
      </c>
      <c r="C218">
        <v>43</v>
      </c>
      <c r="D218" s="5">
        <v>45191</v>
      </c>
      <c r="E218" s="19">
        <v>1</v>
      </c>
      <c r="H218">
        <v>40</v>
      </c>
      <c r="I218"/>
      <c r="J218"/>
      <c r="K218" s="6">
        <v>0.12998944326987852</v>
      </c>
      <c r="L218" s="6">
        <v>0.18245975433984998</v>
      </c>
      <c r="M218" s="6">
        <f t="shared" si="4"/>
        <v>0.71242802962323337</v>
      </c>
      <c r="N218" s="12">
        <v>4.3900000000000002E-2</v>
      </c>
    </row>
    <row r="219" spans="1:14" x14ac:dyDescent="0.55000000000000004">
      <c r="A219" t="s">
        <v>15</v>
      </c>
      <c r="B219" s="1">
        <v>213</v>
      </c>
      <c r="C219">
        <v>43</v>
      </c>
      <c r="D219" s="5">
        <v>45191</v>
      </c>
      <c r="E219" s="19">
        <v>1</v>
      </c>
      <c r="H219">
        <v>55.2</v>
      </c>
      <c r="I219"/>
      <c r="J219"/>
      <c r="K219" s="6">
        <v>0.10682300783564275</v>
      </c>
      <c r="L219" s="6">
        <v>0.1067040499903107</v>
      </c>
      <c r="M219" s="6">
        <f t="shared" si="4"/>
        <v>1.0011148390838289</v>
      </c>
      <c r="N219" s="12">
        <v>3.5799999999999998E-2</v>
      </c>
    </row>
    <row r="220" spans="1:14" x14ac:dyDescent="0.55000000000000004">
      <c r="A220" t="s">
        <v>15</v>
      </c>
      <c r="B220" s="1">
        <v>214</v>
      </c>
      <c r="C220">
        <v>44</v>
      </c>
      <c r="D220" s="5">
        <v>45191</v>
      </c>
      <c r="E220" s="19">
        <v>1</v>
      </c>
      <c r="H220">
        <v>3</v>
      </c>
      <c r="I220"/>
      <c r="J220"/>
      <c r="K220" s="6">
        <v>0.26641400749371141</v>
      </c>
      <c r="L220" s="6">
        <v>8.8258054657872287E-2</v>
      </c>
      <c r="M220" s="6">
        <f t="shared" si="4"/>
        <v>3.018580100439006</v>
      </c>
      <c r="N220" s="12">
        <v>2.9399999999999999E-2</v>
      </c>
    </row>
    <row r="221" spans="1:14" x14ac:dyDescent="0.55000000000000004">
      <c r="A221" t="s">
        <v>15</v>
      </c>
      <c r="B221" s="1">
        <v>215</v>
      </c>
      <c r="C221">
        <v>44</v>
      </c>
      <c r="D221" s="5">
        <v>45191</v>
      </c>
      <c r="E221" s="19">
        <v>1</v>
      </c>
      <c r="H221">
        <v>10</v>
      </c>
      <c r="I221"/>
      <c r="J221"/>
      <c r="K221" s="6">
        <v>0.25483078977659346</v>
      </c>
      <c r="L221" s="6">
        <v>0.10104763993332898</v>
      </c>
      <c r="M221" s="6">
        <f t="shared" si="4"/>
        <v>2.5218875962341158</v>
      </c>
      <c r="N221" s="12">
        <v>3.4200000000000001E-2</v>
      </c>
    </row>
    <row r="222" spans="1:14" x14ac:dyDescent="0.55000000000000004">
      <c r="A222" t="s">
        <v>15</v>
      </c>
      <c r="B222" s="1">
        <v>216</v>
      </c>
      <c r="C222">
        <v>44</v>
      </c>
      <c r="D222" s="5">
        <v>45191</v>
      </c>
      <c r="E222" s="19">
        <v>1</v>
      </c>
      <c r="H222">
        <v>20</v>
      </c>
      <c r="I222"/>
      <c r="J222"/>
      <c r="K222" s="6">
        <v>0.24582162044105735</v>
      </c>
      <c r="L222" s="6">
        <v>0.13659689555231691</v>
      </c>
      <c r="M222" s="6">
        <f t="shared" si="4"/>
        <v>1.7996135230387218</v>
      </c>
      <c r="N222" s="12">
        <v>4.1500000000000002E-2</v>
      </c>
    </row>
    <row r="223" spans="1:14" x14ac:dyDescent="0.55000000000000004">
      <c r="A223" t="s">
        <v>15</v>
      </c>
      <c r="B223" s="1">
        <v>217</v>
      </c>
      <c r="C223">
        <v>44</v>
      </c>
      <c r="D223" s="5">
        <v>45191</v>
      </c>
      <c r="E223" s="19">
        <v>1</v>
      </c>
      <c r="H223">
        <v>30</v>
      </c>
      <c r="I223"/>
      <c r="J223"/>
      <c r="K223" s="6">
        <v>0.16473909642123213</v>
      </c>
      <c r="L223" s="6">
        <v>0.19717117108038393</v>
      </c>
      <c r="M223" s="6">
        <f t="shared" si="4"/>
        <v>0.83551310020910874</v>
      </c>
      <c r="N223" s="12">
        <v>3.9100000000000003E-2</v>
      </c>
    </row>
    <row r="224" spans="1:14" x14ac:dyDescent="0.55000000000000004">
      <c r="A224" t="s">
        <v>15</v>
      </c>
      <c r="B224" s="1">
        <v>218</v>
      </c>
      <c r="C224">
        <v>44</v>
      </c>
      <c r="D224" s="5">
        <v>45191</v>
      </c>
      <c r="E224" s="19">
        <v>1</v>
      </c>
      <c r="H224">
        <v>40</v>
      </c>
      <c r="I224"/>
      <c r="J224"/>
      <c r="K224" s="6">
        <v>0.19176660442784055</v>
      </c>
      <c r="L224" s="6">
        <v>0.1218889607402267</v>
      </c>
      <c r="M224" s="6">
        <f t="shared" si="4"/>
        <v>1.573289355026491</v>
      </c>
      <c r="N224" s="12">
        <v>4.24E-2</v>
      </c>
    </row>
    <row r="225" spans="1:14" x14ac:dyDescent="0.55000000000000004">
      <c r="A225" t="s">
        <v>15</v>
      </c>
      <c r="B225" s="1">
        <v>219</v>
      </c>
      <c r="C225">
        <v>44</v>
      </c>
      <c r="D225" s="5">
        <v>45191</v>
      </c>
      <c r="E225" s="19">
        <v>1</v>
      </c>
      <c r="H225">
        <v>55</v>
      </c>
      <c r="I225"/>
      <c r="J225"/>
      <c r="K225" s="6">
        <v>0.14800778194095077</v>
      </c>
      <c r="L225" s="6">
        <v>5.4661967859954183E-2</v>
      </c>
      <c r="M225" s="6">
        <f t="shared" si="4"/>
        <v>2.707692162129101</v>
      </c>
      <c r="N225" s="12">
        <v>3.8800000000000001E-2</v>
      </c>
    </row>
    <row r="226" spans="1:14" x14ac:dyDescent="0.55000000000000004">
      <c r="A226" t="s">
        <v>15</v>
      </c>
      <c r="B226" s="1">
        <v>220</v>
      </c>
      <c r="C226">
        <v>45</v>
      </c>
      <c r="D226" s="5">
        <v>45191</v>
      </c>
      <c r="E226" s="19">
        <v>1</v>
      </c>
      <c r="H226">
        <v>2</v>
      </c>
      <c r="I226"/>
      <c r="J226"/>
      <c r="K226" s="6">
        <v>0.1389986126054146</v>
      </c>
      <c r="L226" s="6">
        <v>0.14449776360418459</v>
      </c>
      <c r="M226" s="6">
        <f t="shared" si="4"/>
        <v>0.96194300270394817</v>
      </c>
      <c r="N226" s="12">
        <v>4.1599999999999998E-2</v>
      </c>
    </row>
    <row r="227" spans="1:14" x14ac:dyDescent="0.55000000000000004">
      <c r="A227" t="s">
        <v>15</v>
      </c>
      <c r="B227" s="1">
        <v>221</v>
      </c>
      <c r="C227">
        <v>45</v>
      </c>
      <c r="D227" s="5">
        <v>45191</v>
      </c>
      <c r="E227" s="19">
        <v>1</v>
      </c>
      <c r="H227">
        <v>10</v>
      </c>
      <c r="I227"/>
      <c r="J227"/>
      <c r="K227" s="6">
        <v>0.19948874957258586</v>
      </c>
      <c r="L227" s="6">
        <v>0.14070690187893317</v>
      </c>
      <c r="M227" s="6">
        <f t="shared" si="4"/>
        <v>1.4177609407122735</v>
      </c>
      <c r="N227" s="12">
        <v>4.07E-2</v>
      </c>
    </row>
    <row r="228" spans="1:14" x14ac:dyDescent="0.55000000000000004">
      <c r="A228" t="s">
        <v>15</v>
      </c>
      <c r="B228" s="1">
        <v>222</v>
      </c>
      <c r="C228">
        <v>45</v>
      </c>
      <c r="D228" s="5">
        <v>45191</v>
      </c>
      <c r="E228" s="19">
        <v>1</v>
      </c>
      <c r="H228">
        <v>20</v>
      </c>
      <c r="I228"/>
      <c r="J228"/>
      <c r="K228" s="6">
        <v>0.25354376558580266</v>
      </c>
      <c r="L228" s="6">
        <v>0.21090774437460455</v>
      </c>
      <c r="M228" s="6">
        <f t="shared" si="4"/>
        <v>1.2021548394897723</v>
      </c>
      <c r="N228" s="12">
        <v>5.5599999999999997E-2</v>
      </c>
    </row>
    <row r="229" spans="1:14" x14ac:dyDescent="0.55000000000000004">
      <c r="A229" t="s">
        <v>15</v>
      </c>
      <c r="B229" s="1">
        <v>223</v>
      </c>
      <c r="C229">
        <v>45</v>
      </c>
      <c r="D229" s="5">
        <v>45191</v>
      </c>
      <c r="E229" s="19">
        <v>1</v>
      </c>
      <c r="H229">
        <v>30</v>
      </c>
      <c r="I229"/>
      <c r="J229"/>
      <c r="K229" s="6">
        <v>0.21879411243444896</v>
      </c>
      <c r="L229" s="6">
        <v>0.15517983065055424</v>
      </c>
      <c r="M229" s="6">
        <f t="shared" si="4"/>
        <v>1.4099391107543235</v>
      </c>
      <c r="N229" s="12">
        <v>4.1700000000000001E-2</v>
      </c>
    </row>
    <row r="230" spans="1:14" x14ac:dyDescent="0.55000000000000004">
      <c r="A230" t="s">
        <v>15</v>
      </c>
      <c r="B230" s="1">
        <v>224</v>
      </c>
      <c r="C230">
        <v>45</v>
      </c>
      <c r="D230" s="5">
        <v>45191</v>
      </c>
      <c r="E230" s="19">
        <v>1</v>
      </c>
      <c r="H230">
        <v>40</v>
      </c>
      <c r="I230"/>
      <c r="J230"/>
      <c r="K230" s="6">
        <v>0.19948874957258583</v>
      </c>
      <c r="L230" s="6">
        <v>8.8833096870368236E-2</v>
      </c>
      <c r="M230" s="6">
        <f t="shared" si="4"/>
        <v>2.245657942823883</v>
      </c>
      <c r="N230" s="12">
        <v>4.5900000000000003E-2</v>
      </c>
    </row>
    <row r="231" spans="1:14" x14ac:dyDescent="0.55000000000000004">
      <c r="A231" t="s">
        <v>15</v>
      </c>
      <c r="B231" s="1">
        <v>225</v>
      </c>
      <c r="C231">
        <v>45</v>
      </c>
      <c r="D231" s="5">
        <v>45191</v>
      </c>
      <c r="E231" s="19">
        <v>1</v>
      </c>
      <c r="H231">
        <v>55</v>
      </c>
      <c r="I231"/>
      <c r="J231"/>
      <c r="K231" s="6">
        <v>0.10553598364485185</v>
      </c>
      <c r="L231" s="6">
        <v>4.5259961147488169E-2</v>
      </c>
      <c r="M231" s="6">
        <f t="shared" si="4"/>
        <v>2.3317736243949221</v>
      </c>
      <c r="N231" s="12">
        <v>3.1E-2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workbookViewId="0">
      <pane xSplit="2" ySplit="3" topLeftCell="C26" activePane="bottomRight" state="frozen"/>
      <selection pane="topRight" activeCell="D1" sqref="D1"/>
      <selection pane="bottomLeft" activeCell="A3" sqref="A3"/>
      <selection pane="bottomRight" sqref="A1:XFD1048576"/>
    </sheetView>
  </sheetViews>
  <sheetFormatPr defaultRowHeight="14.4" x14ac:dyDescent="0.55000000000000004"/>
  <cols>
    <col min="1" max="1" width="5.83984375" style="1" bestFit="1" customWidth="1"/>
    <col min="2" max="2" width="14.41796875" style="1" customWidth="1"/>
    <col min="3" max="3" width="19.20703125" style="1" bestFit="1" customWidth="1"/>
    <col min="4" max="4" width="10.7890625" style="2" bestFit="1" customWidth="1"/>
    <col min="5" max="5" width="6.41796875" style="2" customWidth="1"/>
    <col min="6" max="7" width="8.89453125" style="6"/>
    <col min="9" max="9" width="8.89453125" style="6"/>
    <col min="11" max="11" width="11.89453125" customWidth="1"/>
  </cols>
  <sheetData>
    <row r="1" spans="1:21" x14ac:dyDescent="0.55000000000000004">
      <c r="K1" s="16" t="s">
        <v>11</v>
      </c>
    </row>
    <row r="2" spans="1:21" s="9" customFormat="1" ht="13.2" customHeight="1" x14ac:dyDescent="0.4">
      <c r="A2" s="8" t="s">
        <v>7</v>
      </c>
      <c r="B2" s="10">
        <v>45323</v>
      </c>
      <c r="C2" s="9" t="s">
        <v>9</v>
      </c>
      <c r="D2" s="3" t="s">
        <v>8</v>
      </c>
      <c r="E2" s="3"/>
      <c r="F2" s="8"/>
      <c r="G2" s="3"/>
      <c r="H2" s="3"/>
      <c r="K2" s="16"/>
      <c r="M2" s="3"/>
      <c r="N2" s="3"/>
      <c r="O2" s="3"/>
      <c r="P2" s="11"/>
      <c r="Q2" s="3"/>
      <c r="R2" s="3"/>
      <c r="S2" s="3"/>
      <c r="T2" s="8"/>
      <c r="U2" s="8"/>
    </row>
    <row r="3" spans="1:21" x14ac:dyDescent="0.5500000000000000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7" t="s">
        <v>6</v>
      </c>
      <c r="I3" s="8" t="s">
        <v>10</v>
      </c>
      <c r="K3" s="16"/>
    </row>
    <row r="4" spans="1:21" x14ac:dyDescent="0.55000000000000004">
      <c r="A4" s="1">
        <v>1</v>
      </c>
      <c r="B4">
        <v>0</v>
      </c>
      <c r="C4" s="4">
        <v>45170</v>
      </c>
      <c r="E4">
        <v>1050</v>
      </c>
      <c r="F4" s="6">
        <v>2.1313120599496913</v>
      </c>
      <c r="G4" s="6">
        <v>1.6198122152140739</v>
      </c>
      <c r="I4" s="6">
        <f>F4/G4</f>
        <v>1.3157772487028798</v>
      </c>
      <c r="K4" s="12">
        <v>2.0500000000000001E-2</v>
      </c>
    </row>
    <row r="5" spans="1:21" x14ac:dyDescent="0.55000000000000004">
      <c r="B5"/>
      <c r="C5" s="4"/>
      <c r="E5"/>
      <c r="K5" s="12"/>
    </row>
    <row r="6" spans="1:21" x14ac:dyDescent="0.55000000000000004">
      <c r="A6" s="1">
        <v>2</v>
      </c>
      <c r="B6">
        <v>1</v>
      </c>
      <c r="C6" s="4">
        <v>45172</v>
      </c>
      <c r="E6">
        <v>3</v>
      </c>
      <c r="F6" s="6">
        <v>0.48392109573736952</v>
      </c>
      <c r="G6" s="6">
        <v>0.29814049175320662</v>
      </c>
      <c r="I6" s="6">
        <f t="shared" ref="I6:I80" si="0">F6/G6</f>
        <v>1.6231310711660982</v>
      </c>
      <c r="K6" s="12">
        <v>2.3300000000000001E-2</v>
      </c>
    </row>
    <row r="7" spans="1:21" x14ac:dyDescent="0.55000000000000004">
      <c r="A7" s="1">
        <v>3</v>
      </c>
      <c r="B7">
        <v>1</v>
      </c>
      <c r="C7" s="4">
        <v>45172</v>
      </c>
      <c r="E7">
        <v>10</v>
      </c>
      <c r="F7" s="6">
        <v>0.52381884565188674</v>
      </c>
      <c r="G7" s="6">
        <v>0.3102917878259332</v>
      </c>
      <c r="I7" s="6">
        <f t="shared" si="0"/>
        <v>1.688149239533653</v>
      </c>
      <c r="K7" s="12">
        <v>2.64E-2</v>
      </c>
    </row>
    <row r="8" spans="1:21" x14ac:dyDescent="0.55000000000000004">
      <c r="A8" s="1">
        <v>4</v>
      </c>
      <c r="B8">
        <v>1</v>
      </c>
      <c r="C8" s="4">
        <v>45172</v>
      </c>
      <c r="E8">
        <v>20</v>
      </c>
      <c r="F8" s="6">
        <v>1.2291081022052868</v>
      </c>
      <c r="G8" s="6">
        <v>0.6802108631611693</v>
      </c>
      <c r="I8" s="6">
        <f t="shared" si="0"/>
        <v>1.806951592177177</v>
      </c>
      <c r="K8" s="12">
        <v>2.75E-2</v>
      </c>
    </row>
    <row r="9" spans="1:21" x14ac:dyDescent="0.55000000000000004">
      <c r="A9" s="1">
        <v>5</v>
      </c>
      <c r="B9">
        <v>1</v>
      </c>
      <c r="C9" s="4">
        <v>45172</v>
      </c>
      <c r="E9">
        <v>30</v>
      </c>
      <c r="F9" s="6">
        <v>2.1918021969168624</v>
      </c>
      <c r="G9" s="6">
        <v>1.1217541726704174</v>
      </c>
      <c r="I9" s="6">
        <f t="shared" si="0"/>
        <v>1.9539059896689466</v>
      </c>
      <c r="K9" s="12">
        <v>3.4099999999999998E-2</v>
      </c>
    </row>
    <row r="10" spans="1:21" x14ac:dyDescent="0.55000000000000004">
      <c r="A10" s="1">
        <v>6</v>
      </c>
      <c r="B10">
        <v>1</v>
      </c>
      <c r="C10" s="4">
        <v>45172</v>
      </c>
      <c r="E10">
        <v>37</v>
      </c>
      <c r="F10" s="6">
        <v>2.7027508006608403</v>
      </c>
      <c r="G10" s="6">
        <v>1.4963832423221202</v>
      </c>
      <c r="I10" s="6">
        <f t="shared" si="0"/>
        <v>1.8061888988188965</v>
      </c>
      <c r="K10" s="12">
        <v>5.1299999999999998E-2</v>
      </c>
    </row>
    <row r="11" spans="1:21" x14ac:dyDescent="0.55000000000000004">
      <c r="B11"/>
      <c r="C11" s="4"/>
      <c r="E11"/>
      <c r="K11" s="12"/>
    </row>
    <row r="12" spans="1:21" x14ac:dyDescent="0.55000000000000004">
      <c r="A12" s="1">
        <v>7</v>
      </c>
      <c r="B12">
        <v>2</v>
      </c>
      <c r="C12" s="4">
        <v>45172</v>
      </c>
      <c r="E12">
        <v>3.3</v>
      </c>
      <c r="F12" s="6">
        <v>0.37066296694777234</v>
      </c>
      <c r="G12" s="6">
        <v>0.23072433018048086</v>
      </c>
      <c r="I12" s="6">
        <f t="shared" si="0"/>
        <v>1.606518769207506</v>
      </c>
      <c r="K12" s="12">
        <v>2.1999999999999999E-2</v>
      </c>
    </row>
    <row r="13" spans="1:21" x14ac:dyDescent="0.55000000000000004">
      <c r="A13" s="1">
        <v>8</v>
      </c>
      <c r="B13">
        <v>2</v>
      </c>
      <c r="C13" s="4">
        <v>45172</v>
      </c>
      <c r="E13">
        <v>10</v>
      </c>
      <c r="F13" s="6">
        <v>0.56500361975719471</v>
      </c>
      <c r="G13" s="6">
        <v>0.36715934018964458</v>
      </c>
      <c r="I13" s="6">
        <f t="shared" si="0"/>
        <v>1.5388512776642422</v>
      </c>
      <c r="K13" s="12">
        <v>2.1999999999999999E-2</v>
      </c>
    </row>
    <row r="14" spans="1:21" x14ac:dyDescent="0.55000000000000004">
      <c r="A14" s="1">
        <v>9</v>
      </c>
      <c r="B14">
        <v>2</v>
      </c>
      <c r="C14" s="4">
        <v>45172</v>
      </c>
      <c r="E14">
        <v>20</v>
      </c>
      <c r="F14" s="6">
        <v>0.60747541805329364</v>
      </c>
      <c r="G14" s="6">
        <v>0.38791652243564662</v>
      </c>
      <c r="I14" s="6">
        <f t="shared" si="0"/>
        <v>1.5659952152568359</v>
      </c>
      <c r="K14" s="12">
        <v>2.3199999999999998E-2</v>
      </c>
    </row>
    <row r="15" spans="1:21" x14ac:dyDescent="0.55000000000000004">
      <c r="A15" s="1">
        <v>10</v>
      </c>
      <c r="B15">
        <v>2</v>
      </c>
      <c r="C15" s="4">
        <v>45172</v>
      </c>
      <c r="E15">
        <v>30</v>
      </c>
      <c r="F15" s="6">
        <v>2.0167669069693028</v>
      </c>
      <c r="G15" s="6">
        <v>1.0480537576233111</v>
      </c>
      <c r="I15" s="6">
        <f t="shared" si="0"/>
        <v>1.9242971959212842</v>
      </c>
      <c r="K15" s="12">
        <v>2.9399999999999999E-2</v>
      </c>
    </row>
    <row r="16" spans="1:21" x14ac:dyDescent="0.55000000000000004">
      <c r="A16" s="1">
        <v>11</v>
      </c>
      <c r="B16">
        <v>2</v>
      </c>
      <c r="C16" s="4">
        <v>45172</v>
      </c>
      <c r="E16">
        <v>40</v>
      </c>
      <c r="F16" s="6">
        <v>2.3308008095222768</v>
      </c>
      <c r="G16" s="6">
        <v>1.2583400501591546</v>
      </c>
      <c r="I16" s="6">
        <f t="shared" si="0"/>
        <v>1.8522821468071984</v>
      </c>
      <c r="K16" s="12">
        <v>4.36E-2</v>
      </c>
    </row>
    <row r="17" spans="1:11" x14ac:dyDescent="0.55000000000000004">
      <c r="B17"/>
      <c r="C17" s="4"/>
      <c r="E17"/>
      <c r="K17" s="12"/>
    </row>
    <row r="18" spans="1:11" x14ac:dyDescent="0.55000000000000004">
      <c r="A18" s="1">
        <v>12</v>
      </c>
      <c r="B18">
        <v>3</v>
      </c>
      <c r="C18" s="4">
        <v>45172</v>
      </c>
      <c r="E18">
        <v>3.1</v>
      </c>
      <c r="F18" s="6">
        <v>0.57272576490193994</v>
      </c>
      <c r="G18" s="6">
        <v>0.38091332312608345</v>
      </c>
      <c r="I18" s="6">
        <f t="shared" si="0"/>
        <v>1.5035592879810245</v>
      </c>
      <c r="K18" s="12">
        <v>2.3300000000000001E-2</v>
      </c>
    </row>
    <row r="19" spans="1:11" x14ac:dyDescent="0.55000000000000004">
      <c r="A19" s="1">
        <v>13</v>
      </c>
      <c r="B19">
        <v>3</v>
      </c>
      <c r="C19" s="4">
        <v>45172</v>
      </c>
      <c r="E19">
        <v>9.9</v>
      </c>
      <c r="F19" s="6">
        <v>1.9871653505811131</v>
      </c>
      <c r="G19" s="6">
        <v>1.099278827643815</v>
      </c>
      <c r="I19" s="6">
        <f t="shared" si="0"/>
        <v>1.8076991029113028</v>
      </c>
      <c r="K19" s="12">
        <v>2.4500000000000001E-2</v>
      </c>
    </row>
    <row r="20" spans="1:11" x14ac:dyDescent="0.55000000000000004">
      <c r="A20" s="1">
        <v>14</v>
      </c>
      <c r="B20">
        <v>3</v>
      </c>
      <c r="C20" s="4">
        <v>45172</v>
      </c>
      <c r="E20">
        <v>19.899999999999999</v>
      </c>
      <c r="F20" s="6">
        <v>0.61777161157962057</v>
      </c>
      <c r="G20" s="6">
        <v>0.40424455375366725</v>
      </c>
      <c r="I20" s="6">
        <f t="shared" si="0"/>
        <v>1.5282125778646096</v>
      </c>
      <c r="K20" s="12">
        <v>2.5499999999999998E-2</v>
      </c>
    </row>
    <row r="21" spans="1:11" x14ac:dyDescent="0.55000000000000004">
      <c r="A21" s="1">
        <v>15</v>
      </c>
      <c r="B21">
        <v>3</v>
      </c>
      <c r="C21" s="4">
        <v>45172</v>
      </c>
      <c r="E21">
        <v>30.2</v>
      </c>
      <c r="F21" s="6">
        <v>1.6589741819294397</v>
      </c>
      <c r="G21" s="6">
        <v>0.99426565728480476</v>
      </c>
      <c r="I21" s="6">
        <f t="shared" si="0"/>
        <v>1.6685421745933149</v>
      </c>
      <c r="K21" s="12">
        <v>4.4699999999999997E-2</v>
      </c>
    </row>
    <row r="22" spans="1:11" x14ac:dyDescent="0.55000000000000004">
      <c r="A22" s="1">
        <v>16</v>
      </c>
      <c r="B22">
        <v>3</v>
      </c>
      <c r="C22" s="4">
        <v>45172</v>
      </c>
      <c r="E22">
        <v>40</v>
      </c>
      <c r="F22" s="6">
        <v>0.78508475638243458</v>
      </c>
      <c r="G22" s="6">
        <v>0.47384192633104466</v>
      </c>
      <c r="I22" s="6">
        <f t="shared" si="0"/>
        <v>1.6568494950654564</v>
      </c>
      <c r="K22" s="12">
        <v>4.2700000000000002E-2</v>
      </c>
    </row>
    <row r="23" spans="1:11" x14ac:dyDescent="0.55000000000000004">
      <c r="A23" s="1">
        <v>17</v>
      </c>
      <c r="B23">
        <v>3</v>
      </c>
      <c r="C23" s="4">
        <v>45172</v>
      </c>
      <c r="E23">
        <v>52.1</v>
      </c>
      <c r="F23" s="6">
        <v>0.97813838500106598</v>
      </c>
      <c r="G23" s="6">
        <v>0.33152537373151197</v>
      </c>
      <c r="I23" s="6">
        <f t="shared" si="0"/>
        <v>2.9504178639225902</v>
      </c>
      <c r="K23" s="12">
        <v>3.1099999999999999E-2</v>
      </c>
    </row>
    <row r="24" spans="1:11" x14ac:dyDescent="0.55000000000000004">
      <c r="B24"/>
      <c r="C24" s="4"/>
      <c r="E24"/>
      <c r="K24" s="12"/>
    </row>
    <row r="25" spans="1:11" x14ac:dyDescent="0.55000000000000004">
      <c r="A25" s="1">
        <v>18</v>
      </c>
      <c r="B25">
        <v>4</v>
      </c>
      <c r="C25" s="4">
        <v>45173</v>
      </c>
      <c r="E25">
        <v>4</v>
      </c>
      <c r="F25" s="6">
        <v>0.23655504626736309</v>
      </c>
      <c r="G25" s="6">
        <v>0.15307441123032364</v>
      </c>
      <c r="I25" s="6">
        <f t="shared" si="0"/>
        <v>1.5453598309872327</v>
      </c>
      <c r="K25" s="12">
        <v>2.6599999999999999E-2</v>
      </c>
    </row>
    <row r="26" spans="1:11" x14ac:dyDescent="0.55000000000000004">
      <c r="A26" s="1">
        <v>19</v>
      </c>
      <c r="B26">
        <v>4</v>
      </c>
      <c r="C26" s="4">
        <v>45173</v>
      </c>
      <c r="E26">
        <v>10</v>
      </c>
      <c r="F26" s="6">
        <v>0.75934427256661707</v>
      </c>
      <c r="G26" s="6">
        <v>0.37692575657324279</v>
      </c>
      <c r="I26" s="6">
        <f t="shared" si="0"/>
        <v>2.0145725234329115</v>
      </c>
      <c r="K26" s="12">
        <v>3.0099999999999998E-2</v>
      </c>
    </row>
    <row r="27" spans="1:11" x14ac:dyDescent="0.55000000000000004">
      <c r="A27" s="1">
        <v>20</v>
      </c>
      <c r="B27">
        <v>4</v>
      </c>
      <c r="C27" s="4">
        <v>45173</v>
      </c>
      <c r="E27">
        <v>20</v>
      </c>
      <c r="F27" s="6">
        <v>0.94081468346813046</v>
      </c>
      <c r="G27" s="6">
        <v>0.58011078352485324</v>
      </c>
      <c r="I27" s="6">
        <f t="shared" si="0"/>
        <v>1.6217845111438509</v>
      </c>
      <c r="K27" s="12">
        <v>3.3500000000000002E-2</v>
      </c>
    </row>
    <row r="28" spans="1:11" x14ac:dyDescent="0.55000000000000004">
      <c r="A28" s="1">
        <v>22</v>
      </c>
      <c r="B28">
        <v>4</v>
      </c>
      <c r="C28" s="4">
        <v>45173</v>
      </c>
      <c r="E28">
        <v>30</v>
      </c>
      <c r="F28" s="6">
        <v>0.5714387407111492</v>
      </c>
      <c r="G28" s="6">
        <v>0.34464163974346967</v>
      </c>
      <c r="I28" s="6">
        <f t="shared" si="0"/>
        <v>1.6580664516815018</v>
      </c>
      <c r="K28" s="12">
        <v>4.2999999999999997E-2</v>
      </c>
    </row>
    <row r="29" spans="1:11" x14ac:dyDescent="0.55000000000000004">
      <c r="A29" s="1">
        <v>23</v>
      </c>
      <c r="B29">
        <v>4</v>
      </c>
      <c r="C29" s="4">
        <v>45173</v>
      </c>
      <c r="E29">
        <v>40</v>
      </c>
      <c r="F29" s="6">
        <v>1.642242867449158</v>
      </c>
      <c r="G29" s="6">
        <v>0.99804259129628181</v>
      </c>
      <c r="I29" s="6">
        <f t="shared" si="0"/>
        <v>1.6454637124415437</v>
      </c>
      <c r="K29" s="12">
        <v>3.6700000000000003E-2</v>
      </c>
    </row>
    <row r="30" spans="1:11" x14ac:dyDescent="0.55000000000000004">
      <c r="A30" s="1">
        <v>24</v>
      </c>
      <c r="B30">
        <v>4</v>
      </c>
      <c r="C30" s="4">
        <v>45173</v>
      </c>
      <c r="E30">
        <v>50</v>
      </c>
      <c r="F30" s="6">
        <v>0.4929302650729056</v>
      </c>
      <c r="G30" s="6">
        <v>0.31197513132209753</v>
      </c>
      <c r="I30" s="6">
        <f t="shared" si="0"/>
        <v>1.5800306357239149</v>
      </c>
      <c r="K30" s="12">
        <v>2.4E-2</v>
      </c>
    </row>
    <row r="31" spans="1:11" x14ac:dyDescent="0.55000000000000004">
      <c r="B31"/>
      <c r="C31" s="4"/>
      <c r="E31"/>
      <c r="K31" s="12"/>
    </row>
    <row r="32" spans="1:11" x14ac:dyDescent="0.55000000000000004">
      <c r="A32" s="1">
        <v>25</v>
      </c>
      <c r="B32">
        <v>5</v>
      </c>
      <c r="C32" s="4">
        <v>45173</v>
      </c>
      <c r="E32">
        <v>2.9</v>
      </c>
      <c r="F32" s="15" t="s">
        <v>12</v>
      </c>
      <c r="K32" s="12">
        <v>2.5899999999999999E-2</v>
      </c>
    </row>
    <row r="33" spans="1:11" x14ac:dyDescent="0.55000000000000004">
      <c r="A33" s="1">
        <v>26</v>
      </c>
      <c r="B33">
        <v>5</v>
      </c>
      <c r="C33" s="4">
        <v>45173</v>
      </c>
      <c r="E33">
        <v>10.3</v>
      </c>
      <c r="F33" s="6">
        <v>0.63450292605990211</v>
      </c>
      <c r="G33" s="6">
        <v>0.43424591137567453</v>
      </c>
      <c r="I33" s="6">
        <f t="shared" si="0"/>
        <v>1.4611603919305101</v>
      </c>
      <c r="K33" s="12">
        <v>2.5000000000000001E-2</v>
      </c>
    </row>
    <row r="34" spans="1:11" x14ac:dyDescent="0.55000000000000004">
      <c r="A34" s="1">
        <v>27</v>
      </c>
      <c r="B34">
        <v>5</v>
      </c>
      <c r="C34" s="4">
        <v>45173</v>
      </c>
      <c r="E34">
        <v>20</v>
      </c>
      <c r="F34" s="6">
        <v>0.8481489417311876</v>
      </c>
      <c r="G34" s="6">
        <v>0.51519149562970068</v>
      </c>
      <c r="I34" s="6">
        <f t="shared" si="0"/>
        <v>1.6462790029065302</v>
      </c>
      <c r="K34" s="12">
        <v>2.7799999999999998E-2</v>
      </c>
    </row>
    <row r="35" spans="1:11" x14ac:dyDescent="0.55000000000000004">
      <c r="A35" s="1">
        <v>28</v>
      </c>
      <c r="B35">
        <v>5</v>
      </c>
      <c r="C35" s="4">
        <v>45173</v>
      </c>
      <c r="E35">
        <v>30</v>
      </c>
      <c r="F35" s="6">
        <v>1.8661850766467707</v>
      </c>
      <c r="G35" s="6">
        <v>1.1061735148933771</v>
      </c>
      <c r="I35" s="6">
        <f t="shared" si="0"/>
        <v>1.687063603965107</v>
      </c>
      <c r="K35" s="12">
        <v>4.0399999999999998E-2</v>
      </c>
    </row>
    <row r="36" spans="1:11" x14ac:dyDescent="0.55000000000000004">
      <c r="A36" s="1">
        <v>29</v>
      </c>
      <c r="B36">
        <v>5</v>
      </c>
      <c r="C36" s="4">
        <v>45173</v>
      </c>
      <c r="E36">
        <v>39.9</v>
      </c>
      <c r="F36" s="6">
        <v>0.97985441725545375</v>
      </c>
      <c r="G36" s="6">
        <v>0.60990169936491279</v>
      </c>
      <c r="I36" s="6">
        <f t="shared" si="0"/>
        <v>1.6065776145168487</v>
      </c>
      <c r="K36" s="12">
        <v>3.27E-2</v>
      </c>
    </row>
    <row r="37" spans="1:11" x14ac:dyDescent="0.55000000000000004">
      <c r="A37" s="1">
        <v>30</v>
      </c>
      <c r="B37">
        <v>5</v>
      </c>
      <c r="C37" s="4">
        <v>45173</v>
      </c>
      <c r="E37">
        <v>55.2</v>
      </c>
      <c r="F37" s="6">
        <v>5.8559600680984883E-2</v>
      </c>
      <c r="G37" s="6">
        <v>2.405748851249748E-2</v>
      </c>
      <c r="I37" s="6">
        <f t="shared" si="0"/>
        <v>2.4341527026216436</v>
      </c>
      <c r="K37" s="12">
        <v>2.3199999999999998E-2</v>
      </c>
    </row>
    <row r="38" spans="1:11" x14ac:dyDescent="0.55000000000000004">
      <c r="B38"/>
      <c r="C38" s="4"/>
      <c r="E38"/>
      <c r="K38" s="12"/>
    </row>
    <row r="39" spans="1:11" x14ac:dyDescent="0.55000000000000004">
      <c r="A39" s="1">
        <v>31</v>
      </c>
      <c r="B39">
        <v>6</v>
      </c>
      <c r="C39" s="4">
        <v>45173</v>
      </c>
      <c r="E39">
        <v>2.2999999999999998</v>
      </c>
      <c r="F39" s="6">
        <v>0.51480967631635055</v>
      </c>
      <c r="G39" s="6">
        <v>0.35556915861563948</v>
      </c>
      <c r="I39" s="6">
        <f t="shared" si="0"/>
        <v>1.4478468220379195</v>
      </c>
      <c r="K39" s="12">
        <v>1.8608</v>
      </c>
    </row>
    <row r="40" spans="1:11" x14ac:dyDescent="0.55000000000000004">
      <c r="A40" s="1">
        <v>32</v>
      </c>
      <c r="B40">
        <v>6</v>
      </c>
      <c r="C40" s="4">
        <v>45173</v>
      </c>
      <c r="E40">
        <v>10.1</v>
      </c>
      <c r="F40" s="6">
        <v>0.80181607086271589</v>
      </c>
      <c r="G40" s="6">
        <v>0.56416166186998817</v>
      </c>
      <c r="I40" s="6">
        <f t="shared" si="0"/>
        <v>1.4212523201328338</v>
      </c>
      <c r="K40" s="12">
        <v>1.8653999999999999</v>
      </c>
    </row>
    <row r="41" spans="1:11" x14ac:dyDescent="0.55000000000000004">
      <c r="A41" s="1">
        <v>33</v>
      </c>
      <c r="B41">
        <v>6</v>
      </c>
      <c r="C41" s="4">
        <v>45173</v>
      </c>
      <c r="E41">
        <v>20</v>
      </c>
      <c r="F41" s="6">
        <v>0.801816070862716</v>
      </c>
      <c r="G41" s="6">
        <v>0.41698481975266433</v>
      </c>
      <c r="I41" s="6">
        <f t="shared" si="0"/>
        <v>1.922890313700905</v>
      </c>
      <c r="K41" s="12">
        <v>1.8852</v>
      </c>
    </row>
    <row r="42" spans="1:11" x14ac:dyDescent="0.55000000000000004">
      <c r="A42" s="1">
        <v>34</v>
      </c>
      <c r="B42">
        <v>6</v>
      </c>
      <c r="C42" s="4">
        <v>45173</v>
      </c>
      <c r="E42">
        <v>30</v>
      </c>
      <c r="F42" s="6">
        <v>1.7361956333768922</v>
      </c>
      <c r="G42" s="6">
        <v>0.91465932614822409</v>
      </c>
      <c r="I42" s="6">
        <f t="shared" si="0"/>
        <v>1.8981883021827244</v>
      </c>
      <c r="K42" s="12">
        <v>1.8935999999999999</v>
      </c>
    </row>
    <row r="43" spans="1:11" x14ac:dyDescent="0.55000000000000004">
      <c r="A43" s="1">
        <v>35</v>
      </c>
      <c r="B43">
        <v>6</v>
      </c>
      <c r="C43" s="4">
        <v>45173</v>
      </c>
      <c r="E43">
        <v>40</v>
      </c>
      <c r="F43" s="6">
        <v>1.1390164088499255</v>
      </c>
      <c r="G43" s="6">
        <v>0.69869225005629276</v>
      </c>
      <c r="I43" s="6">
        <f t="shared" si="0"/>
        <v>1.6302118833551629</v>
      </c>
      <c r="K43" s="12">
        <v>1.907</v>
      </c>
    </row>
    <row r="44" spans="1:11" x14ac:dyDescent="0.55000000000000004">
      <c r="A44" s="1">
        <v>36</v>
      </c>
      <c r="B44">
        <v>6</v>
      </c>
      <c r="C44" s="4">
        <v>45173</v>
      </c>
      <c r="E44">
        <v>0</v>
      </c>
      <c r="F44" s="6">
        <v>0.18031208912980179</v>
      </c>
      <c r="G44" s="6">
        <v>0.11649524529368348</v>
      </c>
      <c r="I44" s="6">
        <f t="shared" si="0"/>
        <v>1.5478064248479551</v>
      </c>
      <c r="K44" s="12">
        <v>1.8828</v>
      </c>
    </row>
    <row r="45" spans="1:11" x14ac:dyDescent="0.55000000000000004">
      <c r="B45"/>
      <c r="C45" s="4"/>
      <c r="E45"/>
      <c r="F45"/>
      <c r="G45"/>
      <c r="I45"/>
      <c r="K45" s="12"/>
    </row>
    <row r="46" spans="1:11" x14ac:dyDescent="0.55000000000000004">
      <c r="A46" s="1">
        <v>37</v>
      </c>
      <c r="B46">
        <v>7</v>
      </c>
      <c r="C46" s="4">
        <v>45174</v>
      </c>
      <c r="E46">
        <v>2</v>
      </c>
      <c r="F46" s="6">
        <v>5.0381029688641672E-2</v>
      </c>
      <c r="G46" s="6">
        <v>0.36160252182176861</v>
      </c>
      <c r="I46" s="6">
        <f t="shared" ref="I46:I51" si="1">F46/G46</f>
        <v>0.13932709715302852</v>
      </c>
      <c r="K46" s="12">
        <v>2.6700000000000002E-2</v>
      </c>
    </row>
    <row r="47" spans="1:11" x14ac:dyDescent="0.55000000000000004">
      <c r="A47" s="1">
        <v>38</v>
      </c>
      <c r="B47">
        <v>7</v>
      </c>
      <c r="C47" s="4">
        <v>45174</v>
      </c>
      <c r="E47">
        <v>10</v>
      </c>
      <c r="F47" s="6">
        <v>7.0127440592248499E-2</v>
      </c>
      <c r="G47" s="6">
        <v>0.50063062825088911</v>
      </c>
      <c r="I47" s="6">
        <f t="shared" si="1"/>
        <v>0.1400782066356204</v>
      </c>
      <c r="K47" s="12">
        <v>2.69E-2</v>
      </c>
    </row>
    <row r="48" spans="1:11" x14ac:dyDescent="0.55000000000000004">
      <c r="A48" s="1">
        <v>39</v>
      </c>
      <c r="B48">
        <v>7</v>
      </c>
      <c r="C48" s="4">
        <v>45174</v>
      </c>
      <c r="E48">
        <v>20</v>
      </c>
      <c r="F48" s="6">
        <v>8.212292385144887E-2</v>
      </c>
      <c r="G48" s="6">
        <v>0.79995772799703657</v>
      </c>
      <c r="I48" s="6">
        <f t="shared" si="1"/>
        <v>0.10265907932044266</v>
      </c>
      <c r="K48" s="12">
        <v>2.93E-2</v>
      </c>
    </row>
    <row r="49" spans="1:11" x14ac:dyDescent="0.55000000000000004">
      <c r="A49" s="1">
        <v>40</v>
      </c>
      <c r="B49">
        <v>7</v>
      </c>
      <c r="C49" s="4">
        <v>45174</v>
      </c>
      <c r="E49">
        <v>30</v>
      </c>
      <c r="F49" s="6">
        <v>0.13748669274006609</v>
      </c>
      <c r="G49" s="6">
        <v>1.2842197696510218</v>
      </c>
      <c r="I49" s="6">
        <f t="shared" si="1"/>
        <v>0.10705853934753487</v>
      </c>
      <c r="K49" s="12">
        <v>4.2700000000000002E-2</v>
      </c>
    </row>
    <row r="50" spans="1:11" x14ac:dyDescent="0.55000000000000004">
      <c r="A50" s="1">
        <v>41</v>
      </c>
      <c r="B50">
        <v>7</v>
      </c>
      <c r="C50" s="4">
        <v>45174</v>
      </c>
      <c r="E50">
        <v>41</v>
      </c>
      <c r="F50" s="6">
        <v>5.5640587733060305E-2</v>
      </c>
      <c r="G50" s="6">
        <v>0.36827699612588827</v>
      </c>
      <c r="I50" s="6">
        <f t="shared" si="1"/>
        <v>0.15108352766633479</v>
      </c>
      <c r="K50" s="12">
        <v>2.7099999999999999E-2</v>
      </c>
    </row>
    <row r="51" spans="1:11" x14ac:dyDescent="0.55000000000000004">
      <c r="A51" s="1">
        <v>42</v>
      </c>
      <c r="B51">
        <v>7</v>
      </c>
      <c r="C51" s="4">
        <v>45174</v>
      </c>
      <c r="E51">
        <v>56</v>
      </c>
      <c r="F51" s="6">
        <v>1.1534118518461922E-2</v>
      </c>
      <c r="G51" s="6">
        <v>0.11714588245708181</v>
      </c>
      <c r="I51" s="6">
        <f t="shared" si="1"/>
        <v>9.8459444553568698E-2</v>
      </c>
      <c r="K51" s="12">
        <v>2.3E-2</v>
      </c>
    </row>
    <row r="52" spans="1:11" x14ac:dyDescent="0.55000000000000004">
      <c r="B52"/>
      <c r="C52" s="4"/>
      <c r="E52"/>
      <c r="K52" s="12"/>
    </row>
    <row r="53" spans="1:11" x14ac:dyDescent="0.55000000000000004">
      <c r="A53" s="1">
        <v>43</v>
      </c>
      <c r="B53">
        <v>8</v>
      </c>
      <c r="C53" s="4">
        <v>45174</v>
      </c>
      <c r="E53">
        <v>3.3</v>
      </c>
      <c r="F53" s="6">
        <v>0.80052904667192515</v>
      </c>
      <c r="G53" s="6">
        <v>0.54116002162910026</v>
      </c>
      <c r="I53" s="6">
        <f t="shared" si="0"/>
        <v>1.4792834183538246</v>
      </c>
      <c r="K53" s="12">
        <v>2.69E-2</v>
      </c>
    </row>
    <row r="54" spans="1:11" x14ac:dyDescent="0.55000000000000004">
      <c r="A54" s="1">
        <v>44</v>
      </c>
      <c r="B54">
        <v>8</v>
      </c>
      <c r="C54" s="4">
        <v>45174</v>
      </c>
      <c r="E54">
        <v>9.9</v>
      </c>
      <c r="F54" s="6">
        <v>0.87517644973779585</v>
      </c>
      <c r="G54" s="6">
        <v>0.55066357654468034</v>
      </c>
      <c r="I54" s="6">
        <f t="shared" si="0"/>
        <v>1.5893123987414934</v>
      </c>
      <c r="K54" s="12">
        <v>2.8799999999999999E-2</v>
      </c>
    </row>
    <row r="55" spans="1:11" x14ac:dyDescent="0.55000000000000004">
      <c r="A55" s="1">
        <v>45</v>
      </c>
      <c r="B55">
        <v>8</v>
      </c>
      <c r="C55" s="4">
        <v>45174</v>
      </c>
      <c r="E55">
        <v>20</v>
      </c>
      <c r="F55" s="6">
        <v>1.7207513430874015</v>
      </c>
      <c r="G55" s="6">
        <v>0.87267494957528136</v>
      </c>
      <c r="I55" s="6">
        <f t="shared" si="0"/>
        <v>1.9718124645664081</v>
      </c>
      <c r="K55" s="12">
        <v>4.0800000000000003E-2</v>
      </c>
    </row>
    <row r="56" spans="1:11" x14ac:dyDescent="0.55000000000000004">
      <c r="A56" s="1">
        <v>46</v>
      </c>
      <c r="B56">
        <v>8</v>
      </c>
      <c r="C56" s="4">
        <v>45174</v>
      </c>
      <c r="E56">
        <v>29.9</v>
      </c>
      <c r="F56" s="6">
        <v>2.0373592940219574</v>
      </c>
      <c r="G56" s="6">
        <v>1.0276296476924485</v>
      </c>
      <c r="I56" s="6">
        <f t="shared" si="0"/>
        <v>1.9825812719561622</v>
      </c>
      <c r="K56" s="12">
        <v>3.9300000000000002E-2</v>
      </c>
    </row>
    <row r="57" spans="1:11" x14ac:dyDescent="0.55000000000000004">
      <c r="A57" s="1">
        <v>47</v>
      </c>
      <c r="B57">
        <v>8</v>
      </c>
      <c r="C57" s="4">
        <v>45174</v>
      </c>
      <c r="E57">
        <v>39.9</v>
      </c>
      <c r="F57" s="6">
        <v>1.0231842316787467</v>
      </c>
      <c r="G57" s="6">
        <v>0.60698742405188821</v>
      </c>
      <c r="I57" s="6">
        <f t="shared" si="0"/>
        <v>1.6856761625283361</v>
      </c>
      <c r="K57" s="12">
        <v>3.1699999999999999E-2</v>
      </c>
    </row>
    <row r="58" spans="1:11" x14ac:dyDescent="0.55000000000000004">
      <c r="A58" s="1">
        <v>48</v>
      </c>
      <c r="B58">
        <v>8</v>
      </c>
      <c r="C58" s="4">
        <v>45174</v>
      </c>
      <c r="E58">
        <v>55</v>
      </c>
      <c r="F58" s="6">
        <v>0.34054660088326588</v>
      </c>
      <c r="G58" s="6">
        <v>0.23631644384280043</v>
      </c>
      <c r="I58" s="6">
        <f t="shared" si="0"/>
        <v>1.4410618040181757</v>
      </c>
      <c r="K58" s="12">
        <v>2.4400000000000002E-2</v>
      </c>
    </row>
    <row r="59" spans="1:11" x14ac:dyDescent="0.55000000000000004">
      <c r="B59"/>
      <c r="C59" s="4"/>
      <c r="E59"/>
      <c r="K59" s="12"/>
    </row>
    <row r="60" spans="1:11" x14ac:dyDescent="0.55000000000000004">
      <c r="B60">
        <v>9</v>
      </c>
      <c r="C60" s="4">
        <v>45174</v>
      </c>
      <c r="E60">
        <v>2.5</v>
      </c>
      <c r="F60" s="6">
        <v>6.9370603883628243E-2</v>
      </c>
      <c r="G60" s="6">
        <v>3.9323113122690462E-2</v>
      </c>
      <c r="I60" s="6">
        <f t="shared" si="0"/>
        <v>1.7641178018430996</v>
      </c>
      <c r="K60" s="12">
        <v>2.3400000000000001E-2</v>
      </c>
    </row>
    <row r="61" spans="1:11" x14ac:dyDescent="0.55000000000000004">
      <c r="B61">
        <v>9</v>
      </c>
      <c r="C61" s="4">
        <v>45174</v>
      </c>
      <c r="E61">
        <v>10</v>
      </c>
      <c r="F61" s="6">
        <v>0.10811003202643359</v>
      </c>
      <c r="G61" s="6">
        <v>8.4908777307761626E-2</v>
      </c>
      <c r="I61" s="6">
        <f t="shared" si="0"/>
        <v>1.2732491911239794</v>
      </c>
      <c r="K61" s="12">
        <v>2.3400000000000001E-2</v>
      </c>
    </row>
    <row r="62" spans="1:11" x14ac:dyDescent="0.55000000000000004">
      <c r="B62">
        <v>9</v>
      </c>
      <c r="C62" s="4">
        <v>45174</v>
      </c>
      <c r="E62">
        <v>20.3</v>
      </c>
      <c r="F62" s="6">
        <v>0.30116366064506511</v>
      </c>
      <c r="G62" s="6">
        <v>0.21154255164889099</v>
      </c>
      <c r="I62" s="6">
        <f t="shared" si="0"/>
        <v>1.4236552329430312</v>
      </c>
      <c r="K62" s="12">
        <v>5.11E-2</v>
      </c>
    </row>
    <row r="63" spans="1:11" x14ac:dyDescent="0.55000000000000004">
      <c r="B63">
        <v>9</v>
      </c>
      <c r="C63" s="4">
        <v>45174</v>
      </c>
      <c r="E63">
        <v>30.1</v>
      </c>
      <c r="F63" s="6">
        <v>0.18533148347388617</v>
      </c>
      <c r="G63" s="6">
        <v>0.15848327065264906</v>
      </c>
      <c r="I63" s="6">
        <f t="shared" si="0"/>
        <v>1.1694072359225907</v>
      </c>
      <c r="K63" s="12">
        <v>3.6299999999999999E-2</v>
      </c>
    </row>
    <row r="64" spans="1:11" x14ac:dyDescent="0.55000000000000004">
      <c r="B64">
        <v>9</v>
      </c>
      <c r="C64" s="4">
        <v>45174</v>
      </c>
      <c r="E64">
        <v>40.1</v>
      </c>
      <c r="F64" s="6">
        <v>0.1196932497435515</v>
      </c>
      <c r="G64" s="6">
        <v>0.10951658634080534</v>
      </c>
      <c r="I64" s="6">
        <f t="shared" si="0"/>
        <v>1.0929234898819558</v>
      </c>
      <c r="K64" s="12">
        <v>3.4500000000000003E-2</v>
      </c>
    </row>
    <row r="65" spans="1:11" x14ac:dyDescent="0.55000000000000004">
      <c r="B65">
        <v>9</v>
      </c>
      <c r="C65" s="4">
        <v>45174</v>
      </c>
      <c r="E65">
        <v>54.9</v>
      </c>
      <c r="F65" s="6">
        <v>1.994887495725858E-2</v>
      </c>
      <c r="G65" s="6">
        <v>1.7207245839573997E-2</v>
      </c>
      <c r="I65" s="6">
        <f t="shared" si="0"/>
        <v>1.1593299208510905</v>
      </c>
      <c r="K65" s="12">
        <v>2.3199999999999998E-2</v>
      </c>
    </row>
    <row r="66" spans="1:11" x14ac:dyDescent="0.55000000000000004">
      <c r="B66"/>
      <c r="C66" s="4"/>
      <c r="E66"/>
      <c r="K66" s="12"/>
    </row>
    <row r="67" spans="1:11" x14ac:dyDescent="0.55000000000000004">
      <c r="A67" s="1">
        <v>49</v>
      </c>
      <c r="B67">
        <v>10</v>
      </c>
      <c r="C67" s="4">
        <v>45174</v>
      </c>
      <c r="E67">
        <v>54.9</v>
      </c>
      <c r="F67" s="6">
        <v>1.2213859570605416</v>
      </c>
      <c r="G67" s="6">
        <v>0.74969624175010208</v>
      </c>
      <c r="I67" s="6">
        <f t="shared" si="0"/>
        <v>1.6291744429841613</v>
      </c>
      <c r="K67" s="12">
        <v>2.6700000000000002E-2</v>
      </c>
    </row>
    <row r="68" spans="1:11" x14ac:dyDescent="0.55000000000000004">
      <c r="A68" s="1">
        <v>50</v>
      </c>
      <c r="B68">
        <v>10</v>
      </c>
      <c r="C68" s="4">
        <v>45174</v>
      </c>
      <c r="E68">
        <v>19.899999999999999</v>
      </c>
      <c r="F68" s="6">
        <v>2.3552542691473035</v>
      </c>
      <c r="G68" s="6">
        <v>1.2695234666424555</v>
      </c>
      <c r="I68" s="6">
        <f t="shared" si="0"/>
        <v>1.8552270446613413</v>
      </c>
      <c r="K68" s="12">
        <v>4.4600000000000001E-2</v>
      </c>
    </row>
    <row r="69" spans="1:11" x14ac:dyDescent="0.55000000000000004">
      <c r="A69" s="1">
        <v>51</v>
      </c>
      <c r="B69">
        <v>10</v>
      </c>
      <c r="C69" s="4">
        <v>45174</v>
      </c>
      <c r="E69">
        <v>29.9</v>
      </c>
      <c r="F69" s="6">
        <v>1.7567880204295461</v>
      </c>
      <c r="G69" s="6">
        <v>0.77359846038348934</v>
      </c>
      <c r="I69" s="6">
        <f t="shared" si="0"/>
        <v>2.2709300889232233</v>
      </c>
      <c r="K69" s="12">
        <v>4.2700000000000002E-2</v>
      </c>
    </row>
    <row r="70" spans="1:11" x14ac:dyDescent="0.55000000000000004">
      <c r="A70" s="1">
        <v>52</v>
      </c>
      <c r="B70">
        <v>10</v>
      </c>
      <c r="C70" s="4">
        <v>45174</v>
      </c>
      <c r="E70">
        <v>40.1</v>
      </c>
      <c r="F70" s="6">
        <v>1.5315587870411429</v>
      </c>
      <c r="G70" s="6">
        <v>0.74741987412097477</v>
      </c>
      <c r="I70" s="6">
        <f t="shared" si="0"/>
        <v>2.0491277260219736</v>
      </c>
      <c r="K70" s="12">
        <v>3.7100000000000001E-2</v>
      </c>
    </row>
    <row r="71" spans="1:11" x14ac:dyDescent="0.55000000000000004">
      <c r="A71" s="1">
        <v>53</v>
      </c>
      <c r="B71">
        <v>10</v>
      </c>
      <c r="C71" s="4">
        <v>45174</v>
      </c>
      <c r="E71">
        <v>54.9</v>
      </c>
      <c r="F71" s="6">
        <v>0.17606490930019186</v>
      </c>
      <c r="G71" s="6">
        <v>9.0171539146475022E-2</v>
      </c>
      <c r="I71" s="6">
        <f t="shared" si="0"/>
        <v>1.9525552182733767</v>
      </c>
      <c r="K71" s="12">
        <v>2.2700000000000001E-2</v>
      </c>
    </row>
    <row r="72" spans="1:11" x14ac:dyDescent="0.55000000000000004">
      <c r="B72"/>
      <c r="C72" s="4"/>
      <c r="E72"/>
      <c r="K72" s="12"/>
    </row>
    <row r="73" spans="1:11" x14ac:dyDescent="0.55000000000000004">
      <c r="A73" s="1">
        <v>54</v>
      </c>
      <c r="B73">
        <v>11</v>
      </c>
      <c r="C73" s="4">
        <v>45175</v>
      </c>
      <c r="E73">
        <v>2.7</v>
      </c>
      <c r="F73" s="6">
        <v>1.0180361349155831</v>
      </c>
      <c r="G73" s="6">
        <v>0.72971428847262909</v>
      </c>
      <c r="I73" s="6">
        <f t="shared" si="0"/>
        <v>1.39511607624738</v>
      </c>
      <c r="K73" s="12">
        <v>2.7E-2</v>
      </c>
    </row>
    <row r="74" spans="1:11" x14ac:dyDescent="0.55000000000000004">
      <c r="A74" s="1">
        <v>55</v>
      </c>
      <c r="B74">
        <v>11</v>
      </c>
      <c r="C74" s="4">
        <v>45175</v>
      </c>
      <c r="E74">
        <v>10.199999999999999</v>
      </c>
      <c r="F74" s="6">
        <v>2.2278388742590067</v>
      </c>
      <c r="G74" s="6">
        <v>1.2880785463131439</v>
      </c>
      <c r="I74" s="6">
        <f t="shared" si="0"/>
        <v>1.7295830915247605</v>
      </c>
      <c r="K74" s="12">
        <v>2.6800000000000001E-2</v>
      </c>
    </row>
    <row r="75" spans="1:11" x14ac:dyDescent="0.55000000000000004">
      <c r="A75" s="1">
        <v>56</v>
      </c>
      <c r="B75">
        <v>11</v>
      </c>
      <c r="C75" s="4">
        <v>45175</v>
      </c>
      <c r="E75">
        <v>20.100000000000001</v>
      </c>
      <c r="F75" s="6">
        <v>2.4196054786868473</v>
      </c>
      <c r="G75" s="6">
        <v>1.2011742447647402</v>
      </c>
      <c r="I75" s="6">
        <f t="shared" si="0"/>
        <v>2.0143667658814537</v>
      </c>
      <c r="K75" s="12">
        <v>4.5400000000000003E-2</v>
      </c>
    </row>
    <row r="76" spans="1:11" x14ac:dyDescent="0.55000000000000004">
      <c r="A76" s="1">
        <v>57</v>
      </c>
      <c r="B76">
        <v>11</v>
      </c>
      <c r="C76" s="4">
        <v>45175</v>
      </c>
      <c r="E76">
        <v>30.2</v>
      </c>
      <c r="F76" s="6">
        <v>2.2909030596077598</v>
      </c>
      <c r="G76" s="6">
        <v>0.855325665184683</v>
      </c>
      <c r="I76" s="6">
        <f t="shared" si="0"/>
        <v>2.6783985946605555</v>
      </c>
      <c r="K76" s="12">
        <v>4.4200000000000003E-2</v>
      </c>
    </row>
    <row r="77" spans="1:11" x14ac:dyDescent="0.55000000000000004">
      <c r="A77" s="1">
        <v>58</v>
      </c>
      <c r="B77">
        <v>11</v>
      </c>
      <c r="C77" s="4">
        <v>45175</v>
      </c>
      <c r="E77">
        <v>40.5</v>
      </c>
      <c r="F77" s="6">
        <v>1.4002823195804734</v>
      </c>
      <c r="G77" s="6">
        <v>0.69817640062733821</v>
      </c>
      <c r="I77" s="6">
        <f t="shared" si="0"/>
        <v>2.0056282600246389</v>
      </c>
      <c r="K77" s="12">
        <v>3.3700000000000001E-2</v>
      </c>
    </row>
    <row r="78" spans="1:11" x14ac:dyDescent="0.55000000000000004">
      <c r="A78" s="1">
        <v>59</v>
      </c>
      <c r="B78">
        <v>11</v>
      </c>
      <c r="C78" s="4">
        <v>45175</v>
      </c>
      <c r="E78">
        <v>55.6</v>
      </c>
      <c r="F78" s="6">
        <v>0.27027508006608408</v>
      </c>
      <c r="G78" s="6">
        <v>0.1351619135321474</v>
      </c>
      <c r="I78" s="6">
        <f t="shared" si="0"/>
        <v>1.9996393436809465</v>
      </c>
      <c r="K78" s="12">
        <v>2.3199999999999998E-2</v>
      </c>
    </row>
    <row r="79" spans="1:11" x14ac:dyDescent="0.55000000000000004">
      <c r="B79"/>
      <c r="C79" s="4"/>
      <c r="E79"/>
      <c r="K79" s="12"/>
    </row>
    <row r="80" spans="1:11" x14ac:dyDescent="0.55000000000000004">
      <c r="A80" s="1">
        <v>60</v>
      </c>
      <c r="B80">
        <v>12</v>
      </c>
      <c r="C80" s="5">
        <v>45176</v>
      </c>
      <c r="E80">
        <v>4.2</v>
      </c>
      <c r="F80" s="6">
        <v>0.84171382077723322</v>
      </c>
      <c r="G80" s="6">
        <v>0.6390440709763282</v>
      </c>
      <c r="I80" s="6">
        <f t="shared" si="0"/>
        <v>1.3171451845117148</v>
      </c>
      <c r="K80" s="12">
        <v>2.46E-2</v>
      </c>
    </row>
    <row r="81" spans="1:11" x14ac:dyDescent="0.55000000000000004">
      <c r="A81" s="1">
        <v>61</v>
      </c>
      <c r="B81">
        <v>12</v>
      </c>
      <c r="C81" s="5">
        <v>45176</v>
      </c>
      <c r="E81">
        <v>10</v>
      </c>
      <c r="F81" s="6">
        <v>0.87388942554700511</v>
      </c>
      <c r="G81" s="6">
        <v>0.6688069406294227</v>
      </c>
      <c r="I81" s="6">
        <f t="shared" ref="I81:I154" si="2">F81/G81</f>
        <v>1.3066392892462759</v>
      </c>
      <c r="K81" s="12">
        <v>2.47E-2</v>
      </c>
    </row>
    <row r="82" spans="1:11" x14ac:dyDescent="0.55000000000000004">
      <c r="A82" s="1">
        <v>62</v>
      </c>
      <c r="B82">
        <v>12</v>
      </c>
      <c r="C82" s="5">
        <v>45176</v>
      </c>
      <c r="E82">
        <v>20.5</v>
      </c>
      <c r="F82" s="6">
        <v>2.6190942282594332</v>
      </c>
      <c r="G82" s="6">
        <v>1.8892418554645076</v>
      </c>
      <c r="I82" s="6">
        <f t="shared" si="2"/>
        <v>1.3863202430561634</v>
      </c>
      <c r="K82" s="12">
        <v>3.7900000000000003E-2</v>
      </c>
    </row>
    <row r="83" spans="1:11" x14ac:dyDescent="0.55000000000000004">
      <c r="A83" s="1">
        <v>63</v>
      </c>
      <c r="B83">
        <v>12</v>
      </c>
      <c r="C83" s="5">
        <v>45176</v>
      </c>
      <c r="E83">
        <v>30.3</v>
      </c>
      <c r="F83" s="6">
        <v>8.6230620782988705</v>
      </c>
      <c r="G83" s="6">
        <v>6.1379449081211082</v>
      </c>
      <c r="I83" s="6">
        <f t="shared" si="2"/>
        <v>1.4048777249352151</v>
      </c>
      <c r="K83" s="14">
        <v>9.0999999999999998E-2</v>
      </c>
    </row>
    <row r="84" spans="1:11" x14ac:dyDescent="0.55000000000000004">
      <c r="A84" s="1">
        <v>64</v>
      </c>
      <c r="B84">
        <v>12</v>
      </c>
      <c r="C84" s="5">
        <v>45176</v>
      </c>
      <c r="E84">
        <v>40.299999999999997</v>
      </c>
      <c r="F84" s="6">
        <v>5.5728147461244948</v>
      </c>
      <c r="G84" s="6">
        <v>3.8356454621167373</v>
      </c>
      <c r="I84" s="6">
        <f t="shared" si="2"/>
        <v>1.4529014219810306</v>
      </c>
      <c r="K84" s="12">
        <v>3.8100000000000002E-2</v>
      </c>
    </row>
    <row r="85" spans="1:11" x14ac:dyDescent="0.55000000000000004">
      <c r="A85" s="1">
        <v>65</v>
      </c>
      <c r="B85">
        <v>12</v>
      </c>
      <c r="C85" s="5">
        <v>45176</v>
      </c>
      <c r="E85">
        <v>55.6</v>
      </c>
      <c r="F85" s="6">
        <v>0.95625897375762103</v>
      </c>
      <c r="G85" s="6">
        <v>0.8018439262902648</v>
      </c>
      <c r="I85" s="6">
        <f t="shared" si="2"/>
        <v>1.1925749418365719</v>
      </c>
      <c r="K85" s="12">
        <v>2.46E-2</v>
      </c>
    </row>
    <row r="86" spans="1:11" x14ac:dyDescent="0.55000000000000004">
      <c r="B86"/>
      <c r="C86" s="5"/>
      <c r="E86"/>
      <c r="K86" s="12"/>
    </row>
    <row r="87" spans="1:11" x14ac:dyDescent="0.55000000000000004">
      <c r="A87" s="1">
        <v>66</v>
      </c>
      <c r="B87">
        <v>13</v>
      </c>
      <c r="C87" s="5">
        <v>45176</v>
      </c>
      <c r="E87">
        <v>2.8</v>
      </c>
      <c r="F87" s="6">
        <v>9.3195677629172316E-2</v>
      </c>
      <c r="G87" s="6">
        <v>0.56058174668205796</v>
      </c>
      <c r="I87" s="6">
        <f t="shared" si="2"/>
        <v>0.16624814878610308</v>
      </c>
      <c r="K87" s="12">
        <v>2.3199999999999998E-2</v>
      </c>
    </row>
    <row r="88" spans="1:11" x14ac:dyDescent="0.55000000000000004">
      <c r="A88" s="1">
        <v>67</v>
      </c>
      <c r="B88">
        <v>13</v>
      </c>
      <c r="C88" s="5">
        <v>45176</v>
      </c>
      <c r="E88">
        <v>10</v>
      </c>
      <c r="F88" s="6">
        <v>0.13933215170301999</v>
      </c>
      <c r="G88" s="6">
        <v>1.0385049540005455</v>
      </c>
      <c r="I88" s="6">
        <f t="shared" si="2"/>
        <v>0.13416609248350952</v>
      </c>
      <c r="K88" s="12">
        <v>2.7099999999999999E-2</v>
      </c>
    </row>
    <row r="89" spans="1:11" x14ac:dyDescent="0.55000000000000004">
      <c r="A89" s="1">
        <v>68</v>
      </c>
      <c r="B89">
        <v>13</v>
      </c>
      <c r="C89" s="5">
        <v>45176</v>
      </c>
      <c r="E89">
        <v>20.100000000000001</v>
      </c>
      <c r="F89" s="6">
        <v>0.30116366064506495</v>
      </c>
      <c r="G89" s="6">
        <v>0.21395528676556849</v>
      </c>
      <c r="I89" s="6">
        <f t="shared" si="2"/>
        <v>1.4076009300721368</v>
      </c>
      <c r="K89" s="12">
        <v>5.0299999999999997E-2</v>
      </c>
    </row>
    <row r="90" spans="1:11" x14ac:dyDescent="0.55000000000000004">
      <c r="A90" s="1">
        <v>69</v>
      </c>
      <c r="B90">
        <v>13</v>
      </c>
      <c r="C90" s="5">
        <v>45176</v>
      </c>
      <c r="E90">
        <v>30</v>
      </c>
      <c r="F90" s="6">
        <v>0.23423840272393942</v>
      </c>
      <c r="G90" s="6">
        <v>0.26278503131161324</v>
      </c>
      <c r="I90" s="6">
        <f t="shared" si="2"/>
        <v>0.89136889401503649</v>
      </c>
      <c r="K90" s="12">
        <v>4.4200000000000003E-2</v>
      </c>
    </row>
    <row r="91" spans="1:11" x14ac:dyDescent="0.55000000000000004">
      <c r="A91" s="1">
        <v>70</v>
      </c>
      <c r="B91">
        <v>13</v>
      </c>
      <c r="C91" s="5">
        <v>45176</v>
      </c>
      <c r="E91">
        <v>40</v>
      </c>
      <c r="F91" s="6">
        <v>0.14028563679620551</v>
      </c>
      <c r="G91" s="6">
        <v>0.10460697754655467</v>
      </c>
      <c r="I91" s="6">
        <f t="shared" si="2"/>
        <v>1.3410734167687073</v>
      </c>
      <c r="K91" s="12">
        <v>3.1899999999999998E-2</v>
      </c>
    </row>
    <row r="92" spans="1:11" x14ac:dyDescent="0.55000000000000004">
      <c r="A92" s="1">
        <v>71</v>
      </c>
      <c r="B92">
        <v>13</v>
      </c>
      <c r="C92" s="5">
        <v>45176</v>
      </c>
      <c r="E92">
        <v>54.9</v>
      </c>
      <c r="F92" s="6">
        <v>6.8727091788232789E-2</v>
      </c>
      <c r="G92" s="6">
        <v>3.8157073880577819E-2</v>
      </c>
      <c r="I92" s="6">
        <f t="shared" si="2"/>
        <v>1.8011625315749198</v>
      </c>
      <c r="K92" s="12">
        <v>2.4500000000000001E-2</v>
      </c>
    </row>
    <row r="93" spans="1:11" x14ac:dyDescent="0.55000000000000004">
      <c r="B93"/>
      <c r="C93" s="5"/>
      <c r="E93"/>
      <c r="K93" s="12"/>
    </row>
    <row r="94" spans="1:11" x14ac:dyDescent="0.55000000000000004">
      <c r="A94" s="1">
        <v>72</v>
      </c>
      <c r="B94">
        <v>15</v>
      </c>
      <c r="C94" s="5">
        <v>45177</v>
      </c>
      <c r="E94">
        <v>2</v>
      </c>
      <c r="F94" s="6">
        <v>0.24453459625026649</v>
      </c>
      <c r="G94" s="6">
        <v>2.6898104375945555E-2</v>
      </c>
      <c r="I94" s="6">
        <f t="shared" si="2"/>
        <v>9.0911460834745288</v>
      </c>
      <c r="K94" s="12"/>
    </row>
    <row r="95" spans="1:11" x14ac:dyDescent="0.55000000000000004">
      <c r="A95" s="1">
        <v>73</v>
      </c>
      <c r="B95">
        <v>15</v>
      </c>
      <c r="C95" s="5">
        <v>45177</v>
      </c>
      <c r="E95">
        <v>9.5</v>
      </c>
      <c r="F95" s="6">
        <v>0.46332870868471548</v>
      </c>
      <c r="G95" s="6">
        <v>0.10125130861780542</v>
      </c>
      <c r="I95" s="6">
        <f t="shared" si="2"/>
        <v>4.5760268682911365</v>
      </c>
      <c r="K95" s="12">
        <v>3.1800000000000002E-2</v>
      </c>
    </row>
    <row r="96" spans="1:11" x14ac:dyDescent="0.55000000000000004">
      <c r="A96" s="1">
        <v>74</v>
      </c>
      <c r="B96">
        <v>15</v>
      </c>
      <c r="C96" s="5">
        <v>45177</v>
      </c>
      <c r="E96">
        <v>20</v>
      </c>
      <c r="F96" s="6">
        <v>1.6473909642123221E-2</v>
      </c>
      <c r="G96" s="6">
        <v>4.7101660682327316E-2</v>
      </c>
      <c r="I96" s="6">
        <f t="shared" si="2"/>
        <v>0.34975220413628177</v>
      </c>
      <c r="K96" s="12">
        <v>5.1999999999999998E-2</v>
      </c>
    </row>
    <row r="97" spans="1:11" x14ac:dyDescent="0.55000000000000004">
      <c r="A97" s="1">
        <v>75</v>
      </c>
      <c r="B97">
        <v>15</v>
      </c>
      <c r="C97" s="5">
        <v>45177</v>
      </c>
      <c r="E97">
        <v>29</v>
      </c>
      <c r="F97" s="6">
        <v>0.44016227325047963</v>
      </c>
      <c r="G97" s="6">
        <v>0.31502381826955911</v>
      </c>
      <c r="I97" s="6">
        <f t="shared" si="2"/>
        <v>1.3972349001047351</v>
      </c>
      <c r="K97" s="14">
        <v>8.5300000000000001E-2</v>
      </c>
    </row>
    <row r="98" spans="1:11" x14ac:dyDescent="0.55000000000000004">
      <c r="A98" s="1">
        <v>76</v>
      </c>
      <c r="B98">
        <v>15</v>
      </c>
      <c r="C98" s="5">
        <v>45177</v>
      </c>
      <c r="E98">
        <v>40</v>
      </c>
      <c r="F98" s="6">
        <v>0.1686001689936048</v>
      </c>
      <c r="G98" s="6">
        <v>0.18004005536628528</v>
      </c>
      <c r="I98" s="6">
        <f t="shared" si="2"/>
        <v>0.93645921542622046</v>
      </c>
      <c r="K98" s="12">
        <v>4.5999999999999999E-2</v>
      </c>
    </row>
    <row r="99" spans="1:11" x14ac:dyDescent="0.55000000000000004">
      <c r="A99" s="1">
        <v>77</v>
      </c>
      <c r="B99">
        <v>15</v>
      </c>
      <c r="C99" s="5">
        <v>45177</v>
      </c>
      <c r="E99">
        <v>54.8</v>
      </c>
      <c r="F99" s="6">
        <v>0.10553598364485185</v>
      </c>
      <c r="G99" s="6">
        <v>5.9736371847552781E-2</v>
      </c>
      <c r="I99" s="6">
        <f t="shared" si="2"/>
        <v>1.7666955722416433</v>
      </c>
      <c r="K99" s="12">
        <v>2.8500000000000001E-2</v>
      </c>
    </row>
    <row r="100" spans="1:11" x14ac:dyDescent="0.55000000000000004">
      <c r="B100"/>
      <c r="C100" s="5"/>
      <c r="E100"/>
      <c r="K100" s="12"/>
    </row>
    <row r="101" spans="1:11" x14ac:dyDescent="0.55000000000000004">
      <c r="A101" s="1">
        <v>78</v>
      </c>
      <c r="B101">
        <v>14</v>
      </c>
      <c r="C101" s="5">
        <v>45177</v>
      </c>
      <c r="E101">
        <v>2.8</v>
      </c>
      <c r="F101" s="6">
        <v>0.42857905553336179</v>
      </c>
      <c r="G101" s="6">
        <v>4.7936130010432676E-2</v>
      </c>
      <c r="I101" s="6">
        <f t="shared" si="2"/>
        <v>8.9406269433950367</v>
      </c>
      <c r="K101" s="12">
        <v>3.2099999999999997E-2</v>
      </c>
    </row>
    <row r="102" spans="1:11" x14ac:dyDescent="0.55000000000000004">
      <c r="A102" s="1">
        <v>79</v>
      </c>
      <c r="B102">
        <v>14</v>
      </c>
      <c r="C102" s="5">
        <v>45177</v>
      </c>
      <c r="E102">
        <v>10</v>
      </c>
      <c r="F102" s="6">
        <v>0.38996832980963558</v>
      </c>
      <c r="G102" s="6">
        <v>6.7244974800739293E-2</v>
      </c>
      <c r="I102" s="6">
        <f t="shared" si="2"/>
        <v>5.7992189150965112</v>
      </c>
      <c r="K102" s="12">
        <v>4.2500000000000003E-2</v>
      </c>
    </row>
    <row r="103" spans="1:11" x14ac:dyDescent="0.55000000000000004">
      <c r="A103" s="1">
        <v>80</v>
      </c>
      <c r="B103">
        <v>14</v>
      </c>
      <c r="C103" s="5">
        <v>45177</v>
      </c>
      <c r="E103">
        <v>15.5</v>
      </c>
      <c r="F103" s="6">
        <v>8.7517644973779604E-2</v>
      </c>
      <c r="G103" s="6">
        <v>9.1024753660350996E-2</v>
      </c>
      <c r="I103" s="6">
        <f t="shared" si="2"/>
        <v>0.96147082474226975</v>
      </c>
      <c r="K103" s="12">
        <v>0.10290000000000001</v>
      </c>
    </row>
    <row r="104" spans="1:11" x14ac:dyDescent="0.55000000000000004">
      <c r="A104" s="1">
        <v>81</v>
      </c>
      <c r="B104">
        <v>14</v>
      </c>
      <c r="C104" s="5">
        <v>45177</v>
      </c>
      <c r="E104">
        <v>20</v>
      </c>
      <c r="F104" s="6">
        <v>0.73489081294159031</v>
      </c>
      <c r="G104" s="6">
        <v>0.16867848825411114</v>
      </c>
      <c r="I104" s="6">
        <f t="shared" si="2"/>
        <v>4.3567547975322753</v>
      </c>
      <c r="K104" s="12">
        <v>4.48E-2</v>
      </c>
    </row>
    <row r="105" spans="1:11" x14ac:dyDescent="0.55000000000000004">
      <c r="A105" s="1">
        <v>82</v>
      </c>
      <c r="B105">
        <v>14</v>
      </c>
      <c r="C105" s="5">
        <v>45177</v>
      </c>
      <c r="E105">
        <v>29.9</v>
      </c>
      <c r="F105" s="6">
        <v>0.66153043406651046</v>
      </c>
      <c r="G105" s="6">
        <v>0.31080181795449791</v>
      </c>
      <c r="I105" s="6">
        <f t="shared" si="2"/>
        <v>2.1284638501160891</v>
      </c>
      <c r="K105" s="12">
        <v>3.5999999999999997E-2</v>
      </c>
    </row>
    <row r="106" spans="1:11" x14ac:dyDescent="0.55000000000000004">
      <c r="A106" s="1">
        <v>83</v>
      </c>
      <c r="B106">
        <v>14</v>
      </c>
      <c r="C106" s="5">
        <v>45177</v>
      </c>
      <c r="E106">
        <v>39.9</v>
      </c>
      <c r="F106" s="6">
        <v>0.20077577376337671</v>
      </c>
      <c r="G106" s="6">
        <v>0.1261498345464164</v>
      </c>
      <c r="I106" s="6">
        <f t="shared" si="2"/>
        <v>1.5915658905561383</v>
      </c>
      <c r="K106" s="12">
        <v>2.5600000000000001E-2</v>
      </c>
    </row>
    <row r="107" spans="1:11" x14ac:dyDescent="0.55000000000000004">
      <c r="B107"/>
      <c r="C107" s="5"/>
      <c r="E107"/>
      <c r="K107" s="12"/>
    </row>
    <row r="108" spans="1:11" x14ac:dyDescent="0.55000000000000004">
      <c r="A108" s="1">
        <v>84</v>
      </c>
      <c r="B108">
        <v>16</v>
      </c>
      <c r="C108" s="5">
        <v>45178</v>
      </c>
      <c r="E108">
        <v>3.3</v>
      </c>
      <c r="F108" s="6">
        <v>6.2935482929673839E-2</v>
      </c>
      <c r="G108" s="6">
        <v>4.8170969193322276E-2</v>
      </c>
      <c r="I108" s="6">
        <f t="shared" si="2"/>
        <v>1.3065023183797244</v>
      </c>
      <c r="K108" s="12">
        <v>2.35E-2</v>
      </c>
    </row>
    <row r="109" spans="1:11" x14ac:dyDescent="0.55000000000000004">
      <c r="A109" s="1">
        <v>85</v>
      </c>
      <c r="B109">
        <v>16</v>
      </c>
      <c r="C109" s="5">
        <v>45178</v>
      </c>
      <c r="E109">
        <v>10.199999999999999</v>
      </c>
      <c r="F109" s="6">
        <v>0.12741539488829678</v>
      </c>
      <c r="G109" s="6">
        <v>0.13677910038788291</v>
      </c>
      <c r="I109" s="6">
        <f t="shared" si="2"/>
        <v>0.93154140162472043</v>
      </c>
      <c r="K109" s="12">
        <v>2.53E-2</v>
      </c>
    </row>
    <row r="110" spans="1:11" x14ac:dyDescent="0.55000000000000004">
      <c r="A110" s="1">
        <v>86</v>
      </c>
      <c r="B110">
        <v>16</v>
      </c>
      <c r="C110" s="5">
        <v>45178</v>
      </c>
      <c r="E110">
        <v>20.3</v>
      </c>
      <c r="F110" s="6">
        <v>0.23681245110552121</v>
      </c>
      <c r="G110" s="6">
        <v>0.36154585783048399</v>
      </c>
      <c r="I110" s="6">
        <f t="shared" si="2"/>
        <v>0.65499976275915228</v>
      </c>
      <c r="K110" s="12">
        <v>4.9700000000000001E-2</v>
      </c>
    </row>
    <row r="111" spans="1:11" x14ac:dyDescent="0.55000000000000004">
      <c r="A111" s="1">
        <v>87</v>
      </c>
      <c r="B111">
        <v>16</v>
      </c>
      <c r="C111" s="5">
        <v>45178</v>
      </c>
      <c r="E111">
        <v>29.8</v>
      </c>
      <c r="F111" s="6">
        <v>0.11711920136196971</v>
      </c>
      <c r="G111" s="6">
        <v>0.16275807217261329</v>
      </c>
      <c r="I111" s="6">
        <f t="shared" si="2"/>
        <v>0.71959073856416034</v>
      </c>
      <c r="K111" s="12">
        <v>3.4700000000000002E-2</v>
      </c>
    </row>
    <row r="112" spans="1:11" x14ac:dyDescent="0.55000000000000004">
      <c r="A112" s="1">
        <v>88</v>
      </c>
      <c r="B112">
        <v>16</v>
      </c>
      <c r="C112" s="5">
        <v>45178</v>
      </c>
      <c r="E112">
        <v>40.299999999999997</v>
      </c>
      <c r="F112" s="6">
        <v>6.8212282111916434E-2</v>
      </c>
      <c r="G112" s="6">
        <v>6.569451686368151E-2</v>
      </c>
      <c r="I112" s="6">
        <f t="shared" si="2"/>
        <v>1.038325348422295</v>
      </c>
      <c r="K112" s="12">
        <v>2.8799999999999999E-2</v>
      </c>
    </row>
    <row r="113" spans="1:11" x14ac:dyDescent="0.55000000000000004">
      <c r="A113" s="1">
        <v>89</v>
      </c>
      <c r="B113">
        <v>16</v>
      </c>
      <c r="C113" s="5">
        <v>45178</v>
      </c>
      <c r="E113">
        <v>55.1</v>
      </c>
      <c r="F113" s="6">
        <v>2.6512698330292048E-2</v>
      </c>
      <c r="G113" s="6">
        <v>3.7666055773327857E-2</v>
      </c>
      <c r="I113" s="6">
        <f t="shared" si="2"/>
        <v>0.7038883627700212</v>
      </c>
      <c r="K113" s="12">
        <v>2.46E-2</v>
      </c>
    </row>
    <row r="114" spans="1:11" x14ac:dyDescent="0.55000000000000004">
      <c r="B114"/>
      <c r="C114" s="5"/>
      <c r="E114"/>
      <c r="K114" s="12"/>
    </row>
    <row r="115" spans="1:11" x14ac:dyDescent="0.55000000000000004">
      <c r="A115" s="1">
        <v>90</v>
      </c>
      <c r="B115">
        <v>17</v>
      </c>
      <c r="C115" s="5">
        <v>45178</v>
      </c>
      <c r="E115">
        <v>2.5</v>
      </c>
      <c r="F115" s="6">
        <v>7.3360378875079943E-2</v>
      </c>
      <c r="G115" s="6">
        <v>4.7276376958792055E-2</v>
      </c>
      <c r="I115" s="6">
        <f t="shared" si="2"/>
        <v>1.551734367018516</v>
      </c>
      <c r="K115" s="12">
        <v>2.7400000000000001E-2</v>
      </c>
    </row>
    <row r="116" spans="1:11" x14ac:dyDescent="0.55000000000000004">
      <c r="A116" s="1">
        <v>91</v>
      </c>
      <c r="B116">
        <v>17</v>
      </c>
      <c r="C116" s="5">
        <v>45178</v>
      </c>
      <c r="E116">
        <v>10.199999999999999</v>
      </c>
      <c r="F116" s="6">
        <v>9.9100862690897462E-2</v>
      </c>
      <c r="G116" s="6">
        <v>5.5314184776458726E-2</v>
      </c>
      <c r="I116" s="6">
        <f t="shared" si="2"/>
        <v>1.7915994440014598</v>
      </c>
      <c r="K116" s="12">
        <v>2.7799999999999998E-2</v>
      </c>
    </row>
    <row r="117" spans="1:11" x14ac:dyDescent="0.55000000000000004">
      <c r="A117" s="1">
        <v>92</v>
      </c>
      <c r="B117">
        <v>17</v>
      </c>
      <c r="C117" s="5">
        <v>45178</v>
      </c>
      <c r="E117">
        <v>19.899999999999999</v>
      </c>
      <c r="F117" s="6">
        <v>0.19562767700021325</v>
      </c>
      <c r="G117" s="6">
        <v>0.11802788816785402</v>
      </c>
      <c r="I117" s="6">
        <f t="shared" si="2"/>
        <v>1.657469942374977</v>
      </c>
      <c r="K117" s="12">
        <v>2.81E-2</v>
      </c>
    </row>
    <row r="118" spans="1:11" x14ac:dyDescent="0.55000000000000004">
      <c r="A118" s="1">
        <v>93</v>
      </c>
      <c r="B118">
        <v>17</v>
      </c>
      <c r="C118" s="5">
        <v>45178</v>
      </c>
      <c r="E118">
        <v>30</v>
      </c>
      <c r="F118" s="6">
        <v>0.26126591073054795</v>
      </c>
      <c r="G118" s="6">
        <v>0.16458183736302029</v>
      </c>
      <c r="I118" s="6">
        <f t="shared" si="2"/>
        <v>1.5874528740025569</v>
      </c>
      <c r="K118" s="12">
        <v>4.0800000000000003E-2</v>
      </c>
    </row>
    <row r="119" spans="1:11" x14ac:dyDescent="0.55000000000000004">
      <c r="A119" s="1">
        <v>94</v>
      </c>
      <c r="B119">
        <v>17</v>
      </c>
      <c r="C119" s="5">
        <v>45178</v>
      </c>
      <c r="E119">
        <v>39.9</v>
      </c>
      <c r="F119" s="6">
        <v>1.5186885451332342E-2</v>
      </c>
      <c r="G119" s="6">
        <v>1.8350132670484073E-2</v>
      </c>
      <c r="I119" s="6">
        <f t="shared" si="2"/>
        <v>0.82761720168706088</v>
      </c>
      <c r="K119" s="12">
        <v>2.63E-2</v>
      </c>
    </row>
    <row r="120" spans="1:11" x14ac:dyDescent="0.55000000000000004">
      <c r="A120" s="1">
        <v>95</v>
      </c>
      <c r="B120">
        <v>17</v>
      </c>
      <c r="C120" s="5">
        <v>45178</v>
      </c>
      <c r="E120">
        <v>54.7</v>
      </c>
      <c r="F120" s="6">
        <v>5.3926313594137708E-2</v>
      </c>
      <c r="G120" s="6">
        <v>3.0640052245406557E-2</v>
      </c>
      <c r="I120" s="6">
        <f t="shared" si="2"/>
        <v>1.7599941789336258</v>
      </c>
      <c r="K120" s="12">
        <v>2.1399999999999999E-2</v>
      </c>
    </row>
    <row r="121" spans="1:11" x14ac:dyDescent="0.55000000000000004">
      <c r="B121"/>
      <c r="C121" s="5"/>
      <c r="E121"/>
      <c r="K121" s="12"/>
    </row>
    <row r="122" spans="1:11" x14ac:dyDescent="0.55000000000000004">
      <c r="A122" s="1">
        <v>96</v>
      </c>
      <c r="B122">
        <v>18</v>
      </c>
      <c r="C122" s="5">
        <v>45179</v>
      </c>
      <c r="E122">
        <v>9.6999999999999993</v>
      </c>
      <c r="F122" s="6">
        <v>9.910086269089749E-2</v>
      </c>
      <c r="G122" s="6">
        <v>6.2552390126490984E-2</v>
      </c>
      <c r="I122" s="6">
        <f t="shared" si="2"/>
        <v>1.5842857881289527</v>
      </c>
      <c r="K122" s="12">
        <v>3.0300000000000001E-2</v>
      </c>
    </row>
    <row r="123" spans="1:11" x14ac:dyDescent="0.55000000000000004">
      <c r="A123" s="1">
        <v>97</v>
      </c>
      <c r="B123">
        <v>18</v>
      </c>
      <c r="C123" s="5">
        <v>45179</v>
      </c>
      <c r="E123">
        <v>19.8</v>
      </c>
      <c r="K123" s="12"/>
    </row>
    <row r="124" spans="1:11" x14ac:dyDescent="0.55000000000000004">
      <c r="A124" s="1">
        <v>98</v>
      </c>
      <c r="B124">
        <v>18</v>
      </c>
      <c r="C124" s="5">
        <v>45179</v>
      </c>
      <c r="E124">
        <v>30.1</v>
      </c>
      <c r="F124" s="6">
        <v>0.15058183032253253</v>
      </c>
      <c r="G124" s="6">
        <v>0.21977301008745451</v>
      </c>
      <c r="I124" s="6">
        <f t="shared" si="2"/>
        <v>0.68516980434772834</v>
      </c>
      <c r="K124" s="12">
        <v>4.24E-2</v>
      </c>
    </row>
    <row r="125" spans="1:11" x14ac:dyDescent="0.55000000000000004">
      <c r="A125" s="1">
        <v>99</v>
      </c>
      <c r="B125">
        <v>18</v>
      </c>
      <c r="C125" s="5">
        <v>45179</v>
      </c>
      <c r="E125">
        <v>40.200000000000003</v>
      </c>
      <c r="F125" s="6">
        <v>5.0065241021765086E-2</v>
      </c>
      <c r="G125" s="6">
        <v>2.0627897896883927E-2</v>
      </c>
      <c r="I125" s="6">
        <f t="shared" si="2"/>
        <v>2.4270646127896529</v>
      </c>
      <c r="K125" s="12">
        <v>2.5600000000000001E-2</v>
      </c>
    </row>
    <row r="126" spans="1:11" x14ac:dyDescent="0.55000000000000004">
      <c r="A126" s="1">
        <v>100</v>
      </c>
      <c r="B126">
        <v>18</v>
      </c>
      <c r="C126" s="5">
        <v>45179</v>
      </c>
      <c r="E126">
        <v>54.8</v>
      </c>
      <c r="F126" s="6">
        <v>8.3656572401406941E-3</v>
      </c>
      <c r="G126" s="6">
        <v>1.5037873391630471E-2</v>
      </c>
      <c r="I126" s="6">
        <f t="shared" si="2"/>
        <v>0.55630587000398024</v>
      </c>
      <c r="K126" s="12">
        <v>2.2599999999999999E-2</v>
      </c>
    </row>
    <row r="127" spans="1:11" x14ac:dyDescent="0.55000000000000004">
      <c r="B127"/>
      <c r="C127" s="5"/>
      <c r="E127"/>
      <c r="K127" s="12"/>
    </row>
    <row r="128" spans="1:11" x14ac:dyDescent="0.55000000000000004">
      <c r="A128" s="1">
        <v>101</v>
      </c>
      <c r="B128">
        <v>19</v>
      </c>
      <c r="C128" s="5">
        <v>45179</v>
      </c>
      <c r="E128">
        <v>2</v>
      </c>
      <c r="F128" s="6">
        <v>7.8508475638243452E-2</v>
      </c>
      <c r="G128" s="6">
        <v>4.9366485545660872E-2</v>
      </c>
      <c r="I128" s="6">
        <f t="shared" si="2"/>
        <v>1.5903193182676147</v>
      </c>
      <c r="K128" s="12">
        <v>3.1300000000000001E-2</v>
      </c>
    </row>
    <row r="129" spans="1:11" x14ac:dyDescent="0.55000000000000004">
      <c r="A129" s="1">
        <v>102</v>
      </c>
      <c r="B129">
        <v>19</v>
      </c>
      <c r="C129" s="5">
        <v>45179</v>
      </c>
      <c r="E129">
        <v>10</v>
      </c>
      <c r="F129" s="6">
        <v>0.1029619352632701</v>
      </c>
      <c r="G129" s="6">
        <v>8.0405933604215316E-2</v>
      </c>
      <c r="I129" s="6">
        <f t="shared" si="2"/>
        <v>1.2805265811610733</v>
      </c>
      <c r="K129" s="12">
        <v>3.1399999999999997E-2</v>
      </c>
    </row>
    <row r="130" spans="1:11" x14ac:dyDescent="0.55000000000000004">
      <c r="A130" s="1">
        <v>103</v>
      </c>
      <c r="B130">
        <v>19</v>
      </c>
      <c r="C130" s="5">
        <v>45179</v>
      </c>
      <c r="E130">
        <v>19</v>
      </c>
      <c r="F130" s="6">
        <v>0.13642456422383287</v>
      </c>
      <c r="G130" s="6">
        <v>7.5896126043781889E-2</v>
      </c>
      <c r="I130" s="6">
        <f t="shared" si="2"/>
        <v>1.7975168343260917</v>
      </c>
      <c r="K130" s="12">
        <v>3.2099999999999997E-2</v>
      </c>
    </row>
    <row r="131" spans="1:11" x14ac:dyDescent="0.55000000000000004">
      <c r="A131" s="1">
        <v>104</v>
      </c>
      <c r="B131">
        <v>19</v>
      </c>
      <c r="C131" s="5">
        <v>45179</v>
      </c>
      <c r="E131">
        <v>30</v>
      </c>
      <c r="F131" s="6">
        <v>0.13385051584225116</v>
      </c>
      <c r="G131" s="6">
        <v>9.4152952683766944E-2</v>
      </c>
      <c r="I131" s="6">
        <f t="shared" si="2"/>
        <v>1.4216284463411049</v>
      </c>
      <c r="K131" s="12">
        <v>3.1699999999999999E-2</v>
      </c>
    </row>
    <row r="132" spans="1:11" x14ac:dyDescent="0.55000000000000004">
      <c r="A132" s="1">
        <v>105</v>
      </c>
      <c r="B132">
        <v>19</v>
      </c>
      <c r="C132" s="5">
        <v>45179</v>
      </c>
      <c r="E132">
        <v>40</v>
      </c>
      <c r="F132" s="6">
        <v>8.4814894173118743E-2</v>
      </c>
      <c r="G132" s="6">
        <v>3.4736130858248414E-2</v>
      </c>
      <c r="I132" s="6">
        <f t="shared" si="2"/>
        <v>2.4416908871984706</v>
      </c>
      <c r="K132" s="12">
        <v>2.5700000000000001E-2</v>
      </c>
    </row>
    <row r="133" spans="1:11" x14ac:dyDescent="0.55000000000000004">
      <c r="A133" s="1">
        <v>106</v>
      </c>
      <c r="B133">
        <v>19</v>
      </c>
      <c r="C133" s="5">
        <v>45179</v>
      </c>
      <c r="E133">
        <v>55</v>
      </c>
      <c r="F133" s="6">
        <v>2.0077577376337665E-2</v>
      </c>
      <c r="G133" s="6">
        <v>2.8056488201377273E-2</v>
      </c>
      <c r="I133" s="6">
        <f t="shared" si="2"/>
        <v>0.71561263235190176</v>
      </c>
      <c r="K133" s="12">
        <v>2.12E-2</v>
      </c>
    </row>
    <row r="134" spans="1:11" x14ac:dyDescent="0.55000000000000004">
      <c r="B134"/>
      <c r="C134" s="5"/>
      <c r="E134"/>
      <c r="K134" s="12"/>
    </row>
    <row r="135" spans="1:11" x14ac:dyDescent="0.55000000000000004">
      <c r="A135" s="1">
        <v>107</v>
      </c>
      <c r="B135">
        <v>20</v>
      </c>
      <c r="C135" s="5">
        <v>45179</v>
      </c>
      <c r="E135">
        <v>6.3</v>
      </c>
      <c r="F135" s="6">
        <v>0.11325812878959712</v>
      </c>
      <c r="G135" s="6">
        <v>5.3220594261146247E-2</v>
      </c>
      <c r="I135" s="6">
        <f t="shared" si="2"/>
        <v>2.1280883906304169</v>
      </c>
      <c r="K135" s="12">
        <v>3.1E-2</v>
      </c>
    </row>
    <row r="136" spans="1:11" x14ac:dyDescent="0.55000000000000004">
      <c r="A136" s="1">
        <v>108</v>
      </c>
      <c r="B136">
        <v>20</v>
      </c>
      <c r="C136" s="5">
        <v>45179</v>
      </c>
      <c r="E136">
        <v>10</v>
      </c>
      <c r="F136" s="6">
        <v>0.124841346506715</v>
      </c>
      <c r="G136" s="6">
        <v>6.9383830385818968E-2</v>
      </c>
      <c r="I136" s="6">
        <f t="shared" si="2"/>
        <v>1.7992858827844525</v>
      </c>
      <c r="K136" s="12">
        <v>3.15E-2</v>
      </c>
    </row>
    <row r="137" spans="1:11" x14ac:dyDescent="0.55000000000000004">
      <c r="A137" s="1">
        <v>109</v>
      </c>
      <c r="B137">
        <v>20</v>
      </c>
      <c r="C137" s="5">
        <v>45179</v>
      </c>
      <c r="E137">
        <v>19.7</v>
      </c>
      <c r="F137" s="6">
        <v>0.15959099965806869</v>
      </c>
      <c r="G137" s="6">
        <v>0.10822259829312718</v>
      </c>
      <c r="I137" s="6">
        <f t="shared" si="2"/>
        <v>1.4746550367032145</v>
      </c>
      <c r="K137" s="12">
        <v>3.4200000000000001E-2</v>
      </c>
    </row>
    <row r="138" spans="1:11" x14ac:dyDescent="0.55000000000000004">
      <c r="A138" s="1">
        <v>110</v>
      </c>
      <c r="B138">
        <v>20</v>
      </c>
      <c r="C138" s="5">
        <v>45179</v>
      </c>
      <c r="E138">
        <v>30</v>
      </c>
      <c r="F138" s="6">
        <v>0.14800778194095074</v>
      </c>
      <c r="G138" s="6">
        <v>0.17529872369382624</v>
      </c>
      <c r="I138" s="6">
        <f t="shared" si="2"/>
        <v>0.84431751026013524</v>
      </c>
      <c r="K138" s="12">
        <v>3.5700000000000003E-2</v>
      </c>
    </row>
    <row r="139" spans="1:11" x14ac:dyDescent="0.55000000000000004">
      <c r="A139" s="1">
        <v>111</v>
      </c>
      <c r="B139">
        <v>20</v>
      </c>
      <c r="C139" s="5">
        <v>45179</v>
      </c>
      <c r="E139">
        <v>40</v>
      </c>
      <c r="F139" s="6">
        <v>9.1378717546152233E-2</v>
      </c>
      <c r="G139" s="6">
        <v>7.7512740621268575E-2</v>
      </c>
      <c r="I139" s="6">
        <f t="shared" si="2"/>
        <v>1.178886423235034</v>
      </c>
      <c r="K139" s="12">
        <v>2.9600000000000001E-2</v>
      </c>
    </row>
    <row r="140" spans="1:11" x14ac:dyDescent="0.55000000000000004">
      <c r="A140" s="1">
        <v>112</v>
      </c>
      <c r="B140">
        <v>20</v>
      </c>
      <c r="C140" s="5">
        <v>45179</v>
      </c>
      <c r="E140">
        <v>54.7</v>
      </c>
      <c r="F140" s="6">
        <v>0.12690058521198039</v>
      </c>
      <c r="G140" s="6">
        <v>-2.9908633521547306E-2</v>
      </c>
      <c r="I140" s="6">
        <f t="shared" si="2"/>
        <v>-4.2429415947925682</v>
      </c>
      <c r="K140" s="12">
        <v>2.3099999999999999E-2</v>
      </c>
    </row>
    <row r="141" spans="1:11" x14ac:dyDescent="0.55000000000000004">
      <c r="B141"/>
      <c r="C141" s="5"/>
      <c r="E141"/>
      <c r="K141" s="12"/>
    </row>
    <row r="142" spans="1:11" x14ac:dyDescent="0.55000000000000004">
      <c r="A142" s="1">
        <v>113</v>
      </c>
      <c r="B142">
        <v>21</v>
      </c>
      <c r="C142" s="5">
        <v>45179</v>
      </c>
      <c r="E142">
        <v>2.8</v>
      </c>
      <c r="F142" s="6">
        <v>0.17503528994755921</v>
      </c>
      <c r="G142" s="6">
        <v>9.0365572886959247E-2</v>
      </c>
      <c r="I142" s="6">
        <f t="shared" si="2"/>
        <v>1.9369687410327783</v>
      </c>
      <c r="K142" s="12">
        <v>3.4799999999999998E-2</v>
      </c>
    </row>
    <row r="143" spans="1:11" x14ac:dyDescent="0.55000000000000004">
      <c r="A143" s="1">
        <v>114</v>
      </c>
      <c r="B143">
        <v>21</v>
      </c>
      <c r="C143" s="5">
        <v>45179</v>
      </c>
      <c r="E143">
        <v>10.3</v>
      </c>
      <c r="F143" s="6">
        <v>0.21235899148049456</v>
      </c>
      <c r="G143" s="6">
        <v>0.13507486532105686</v>
      </c>
      <c r="I143" s="6">
        <f t="shared" si="2"/>
        <v>1.5721577139887761</v>
      </c>
      <c r="K143" s="12">
        <v>4.1500000000000002E-2</v>
      </c>
    </row>
    <row r="144" spans="1:11" x14ac:dyDescent="0.55000000000000004">
      <c r="A144" s="1">
        <v>115</v>
      </c>
      <c r="B144">
        <v>21</v>
      </c>
      <c r="C144" s="5">
        <v>45179</v>
      </c>
      <c r="E144">
        <v>20</v>
      </c>
      <c r="F144" s="6">
        <v>0.34620950732274569</v>
      </c>
      <c r="G144" s="6">
        <v>0.1773540129962588</v>
      </c>
      <c r="I144" s="6">
        <f t="shared" si="2"/>
        <v>1.952081610524645</v>
      </c>
      <c r="K144" s="12">
        <v>5.0599999999999999E-2</v>
      </c>
    </row>
    <row r="145" spans="1:11" x14ac:dyDescent="0.55000000000000004">
      <c r="A145" s="1">
        <v>116</v>
      </c>
      <c r="B145">
        <v>21</v>
      </c>
      <c r="C145" s="5">
        <v>45179</v>
      </c>
      <c r="E145">
        <v>30.1</v>
      </c>
      <c r="F145" s="6">
        <v>0.12612837069750588</v>
      </c>
      <c r="G145" s="6">
        <v>6.4477703520011892E-2</v>
      </c>
      <c r="I145" s="6">
        <f t="shared" si="2"/>
        <v>1.9561548227033165</v>
      </c>
      <c r="K145" s="12">
        <v>3.5299999999999998E-2</v>
      </c>
    </row>
    <row r="146" spans="1:11" x14ac:dyDescent="0.55000000000000004">
      <c r="A146" s="1">
        <v>117</v>
      </c>
      <c r="B146">
        <v>21</v>
      </c>
      <c r="C146" s="5">
        <v>45179</v>
      </c>
      <c r="E146">
        <v>40</v>
      </c>
      <c r="F146" s="6">
        <v>3.513576040859092E-2</v>
      </c>
      <c r="G146" s="6">
        <v>2.0598420786657946E-2</v>
      </c>
      <c r="I146" s="6">
        <f t="shared" si="2"/>
        <v>1.7057502015566712</v>
      </c>
      <c r="K146" s="12">
        <v>2.4299999999999999E-2</v>
      </c>
    </row>
    <row r="147" spans="1:11" x14ac:dyDescent="0.55000000000000004">
      <c r="A147" s="1">
        <v>118</v>
      </c>
      <c r="B147">
        <v>21</v>
      </c>
      <c r="C147" s="5">
        <v>45179</v>
      </c>
      <c r="E147">
        <v>55.2</v>
      </c>
      <c r="F147" s="6">
        <v>1.6345207223044129E-2</v>
      </c>
      <c r="G147" s="6">
        <v>1.8156904945443263E-2</v>
      </c>
      <c r="I147" s="6">
        <f t="shared" si="2"/>
        <v>0.900219903786311</v>
      </c>
      <c r="K147" s="12">
        <v>2.1299999999999999E-2</v>
      </c>
    </row>
    <row r="148" spans="1:11" x14ac:dyDescent="0.55000000000000004">
      <c r="B148"/>
      <c r="C148" s="5"/>
      <c r="E148"/>
      <c r="K148" s="12"/>
    </row>
    <row r="149" spans="1:11" x14ac:dyDescent="0.55000000000000004">
      <c r="A149" s="1">
        <v>119</v>
      </c>
      <c r="B149">
        <v>22</v>
      </c>
      <c r="C149" s="5">
        <v>45181</v>
      </c>
      <c r="E149">
        <v>5.5</v>
      </c>
      <c r="F149" s="6">
        <v>0.16602612061202307</v>
      </c>
      <c r="G149" s="6">
        <v>4.7500937213930373E-2</v>
      </c>
      <c r="I149" s="6">
        <f t="shared" si="2"/>
        <v>3.4952177862152451</v>
      </c>
      <c r="K149" s="12">
        <v>3.6700000000000003E-2</v>
      </c>
    </row>
    <row r="150" spans="1:11" x14ac:dyDescent="0.55000000000000004">
      <c r="A150" s="1">
        <v>120</v>
      </c>
      <c r="B150">
        <v>22</v>
      </c>
      <c r="C150" s="5">
        <v>45181</v>
      </c>
      <c r="E150">
        <v>10.199999999999999</v>
      </c>
      <c r="F150" s="6">
        <v>0.16988719318439571</v>
      </c>
      <c r="G150" s="6">
        <v>5.9322642899961142E-2</v>
      </c>
      <c r="I150" s="6">
        <f t="shared" si="2"/>
        <v>2.8637832854292302</v>
      </c>
      <c r="K150" s="12">
        <v>3.5700000000000003E-2</v>
      </c>
    </row>
    <row r="151" spans="1:11" x14ac:dyDescent="0.55000000000000004">
      <c r="A151" s="1">
        <v>121</v>
      </c>
      <c r="B151">
        <v>22</v>
      </c>
      <c r="C151" s="5">
        <v>45181</v>
      </c>
      <c r="E151">
        <v>20</v>
      </c>
      <c r="F151" s="6">
        <v>0.44144929744127054</v>
      </c>
      <c r="G151" s="6">
        <v>0.17982999510317027</v>
      </c>
      <c r="I151" s="6">
        <f t="shared" si="2"/>
        <v>2.4548145996890378</v>
      </c>
      <c r="K151" s="12">
        <v>5.3600000000000002E-2</v>
      </c>
    </row>
    <row r="152" spans="1:11" x14ac:dyDescent="0.55000000000000004">
      <c r="A152" s="1">
        <v>122</v>
      </c>
      <c r="B152">
        <v>22</v>
      </c>
      <c r="C152" s="5">
        <v>45181</v>
      </c>
      <c r="E152">
        <v>30</v>
      </c>
      <c r="F152" s="6">
        <v>0.14414670936857812</v>
      </c>
      <c r="G152" s="6">
        <v>8.2650391599101272E-2</v>
      </c>
      <c r="I152" s="6">
        <f t="shared" si="2"/>
        <v>1.7440535559440176</v>
      </c>
      <c r="K152" s="12">
        <v>3.2300000000000002E-2</v>
      </c>
    </row>
    <row r="153" spans="1:11" x14ac:dyDescent="0.55000000000000004">
      <c r="A153" s="1">
        <v>123</v>
      </c>
      <c r="B153">
        <v>22</v>
      </c>
      <c r="C153" s="5">
        <v>45181</v>
      </c>
      <c r="E153">
        <v>40</v>
      </c>
      <c r="F153" s="6">
        <v>7.9666797409955234E-2</v>
      </c>
      <c r="G153" s="6">
        <v>3.3852389829718312E-2</v>
      </c>
      <c r="I153" s="6">
        <f t="shared" si="2"/>
        <v>2.3533581472589979</v>
      </c>
      <c r="K153" s="12">
        <v>2.9100000000000001E-2</v>
      </c>
    </row>
    <row r="154" spans="1:11" x14ac:dyDescent="0.55000000000000004">
      <c r="A154" s="1">
        <v>124</v>
      </c>
      <c r="B154">
        <v>22</v>
      </c>
      <c r="C154" s="5">
        <v>45181</v>
      </c>
      <c r="E154">
        <v>55</v>
      </c>
      <c r="F154" s="6">
        <v>1.3256349165146024E-2</v>
      </c>
      <c r="G154" s="6">
        <v>1.4852014944146156E-2</v>
      </c>
      <c r="I154" s="6">
        <f t="shared" si="2"/>
        <v>0.89256233682763331</v>
      </c>
      <c r="K154" s="12">
        <v>2.1299999999999999E-2</v>
      </c>
    </row>
    <row r="155" spans="1:11" x14ac:dyDescent="0.55000000000000004">
      <c r="B155"/>
      <c r="C155" s="5"/>
      <c r="E155"/>
      <c r="K155" s="12"/>
    </row>
    <row r="156" spans="1:11" x14ac:dyDescent="0.55000000000000004">
      <c r="A156" s="1">
        <v>125</v>
      </c>
      <c r="B156">
        <v>23</v>
      </c>
      <c r="C156" s="5">
        <v>45181</v>
      </c>
      <c r="E156">
        <v>5.3</v>
      </c>
      <c r="F156" s="6">
        <v>0.22522923338840331</v>
      </c>
      <c r="G156" s="6">
        <v>0.11617278562145449</v>
      </c>
      <c r="I156" s="6">
        <f t="shared" ref="I156:I229" si="3">F156/G156</f>
        <v>1.9387435033391207</v>
      </c>
      <c r="K156" s="12">
        <v>4.0899999999999999E-2</v>
      </c>
    </row>
    <row r="157" spans="1:11" x14ac:dyDescent="0.55000000000000004">
      <c r="A157" s="1">
        <v>126</v>
      </c>
      <c r="B157">
        <v>23</v>
      </c>
      <c r="C157" s="5">
        <v>45181</v>
      </c>
      <c r="E157">
        <v>9.9</v>
      </c>
      <c r="F157" s="6">
        <v>0.29215449130952886</v>
      </c>
      <c r="G157" s="6">
        <v>0.17350338620921718</v>
      </c>
      <c r="I157" s="6">
        <f t="shared" si="3"/>
        <v>1.6838546940936214</v>
      </c>
      <c r="K157" s="12">
        <v>4.5199999999999997E-2</v>
      </c>
    </row>
    <row r="158" spans="1:11" x14ac:dyDescent="0.55000000000000004">
      <c r="A158" s="1">
        <v>127</v>
      </c>
      <c r="B158">
        <v>23</v>
      </c>
      <c r="C158" s="5">
        <v>45181</v>
      </c>
      <c r="E158">
        <v>20.2</v>
      </c>
      <c r="F158" s="6">
        <v>0.30116366064506506</v>
      </c>
      <c r="G158" s="6">
        <v>0.12830319012351935</v>
      </c>
      <c r="I158" s="6">
        <f t="shared" si="3"/>
        <v>2.3472811576635815</v>
      </c>
      <c r="K158" s="12">
        <v>4.6899999999999997E-2</v>
      </c>
    </row>
    <row r="159" spans="1:11" x14ac:dyDescent="0.55000000000000004">
      <c r="A159" s="1">
        <v>128</v>
      </c>
      <c r="B159">
        <v>23</v>
      </c>
      <c r="C159" s="5">
        <v>45181</v>
      </c>
      <c r="E159">
        <v>29.8</v>
      </c>
      <c r="F159" s="6">
        <v>0.16345207223044128</v>
      </c>
      <c r="G159" s="6">
        <v>5.9725926062221955E-2</v>
      </c>
      <c r="I159" s="6">
        <f t="shared" si="3"/>
        <v>2.7367021829039255</v>
      </c>
      <c r="K159" s="12">
        <v>3.44E-2</v>
      </c>
    </row>
    <row r="160" spans="1:11" x14ac:dyDescent="0.55000000000000004">
      <c r="A160" s="1">
        <v>129</v>
      </c>
      <c r="B160">
        <v>23</v>
      </c>
      <c r="C160" s="5">
        <v>45181</v>
      </c>
      <c r="E160">
        <v>40.299999999999997</v>
      </c>
      <c r="F160" s="6">
        <v>0.11197110459880623</v>
      </c>
      <c r="G160" s="6">
        <v>8.4666807410405165E-2</v>
      </c>
      <c r="I160" s="6">
        <f t="shared" si="3"/>
        <v>1.3224911629896356</v>
      </c>
      <c r="K160" s="12">
        <v>3.1399999999999997E-2</v>
      </c>
    </row>
    <row r="161" spans="1:11" x14ac:dyDescent="0.55000000000000004">
      <c r="A161" s="1">
        <v>130</v>
      </c>
      <c r="B161">
        <v>23</v>
      </c>
      <c r="C161" s="5">
        <v>45181</v>
      </c>
      <c r="E161">
        <v>55.9</v>
      </c>
      <c r="F161" s="6">
        <v>1.6087802384885955E-2</v>
      </c>
      <c r="G161" s="6">
        <v>2.8065250250311202E-2</v>
      </c>
      <c r="I161" s="6">
        <f t="shared" si="3"/>
        <v>0.5732285385450131</v>
      </c>
      <c r="K161" s="12">
        <v>2.1499999999999998E-2</v>
      </c>
    </row>
    <row r="162" spans="1:11" x14ac:dyDescent="0.55000000000000004">
      <c r="B162"/>
      <c r="C162" s="5"/>
      <c r="E162"/>
      <c r="K162" s="12"/>
    </row>
    <row r="163" spans="1:11" x14ac:dyDescent="0.55000000000000004">
      <c r="A163" s="1">
        <v>131</v>
      </c>
      <c r="B163">
        <v>25</v>
      </c>
      <c r="C163" s="5">
        <v>45182</v>
      </c>
      <c r="E163">
        <v>2</v>
      </c>
      <c r="F163" s="6">
        <v>0.20334982214495842</v>
      </c>
      <c r="G163" s="6">
        <v>0.10427390523141522</v>
      </c>
      <c r="I163" s="6">
        <f t="shared" si="3"/>
        <v>1.9501506315857633</v>
      </c>
      <c r="K163" s="12">
        <v>4.1099999999999998E-2</v>
      </c>
    </row>
    <row r="164" spans="1:11" x14ac:dyDescent="0.55000000000000004">
      <c r="A164" s="1">
        <v>132</v>
      </c>
      <c r="B164">
        <v>25</v>
      </c>
      <c r="C164" s="5">
        <v>45182</v>
      </c>
      <c r="E164">
        <v>10</v>
      </c>
      <c r="F164" s="6">
        <v>0.34620950732274569</v>
      </c>
      <c r="G164" s="6">
        <v>0.15925849962117808</v>
      </c>
      <c r="I164" s="6">
        <f t="shared" si="3"/>
        <v>2.1738840196677769</v>
      </c>
      <c r="K164" s="12">
        <v>4.0300000000000002E-2</v>
      </c>
    </row>
    <row r="165" spans="1:11" x14ac:dyDescent="0.55000000000000004">
      <c r="A165" s="1">
        <v>133</v>
      </c>
      <c r="B165">
        <v>25</v>
      </c>
      <c r="C165" s="5">
        <v>45182</v>
      </c>
      <c r="E165">
        <v>20</v>
      </c>
      <c r="F165" s="6">
        <v>0.33591331379641876</v>
      </c>
      <c r="G165" s="6">
        <v>0.11164905034724638</v>
      </c>
      <c r="I165" s="6">
        <f t="shared" si="3"/>
        <v>3.0086535689437097</v>
      </c>
      <c r="K165" s="12">
        <v>4.5100000000000001E-2</v>
      </c>
    </row>
    <row r="166" spans="1:11" x14ac:dyDescent="0.55000000000000004">
      <c r="A166" s="1">
        <v>134</v>
      </c>
      <c r="B166">
        <v>25</v>
      </c>
      <c r="C166" s="5">
        <v>45182</v>
      </c>
      <c r="E166">
        <v>29</v>
      </c>
      <c r="F166" s="6">
        <v>0.124841346506715</v>
      </c>
      <c r="G166" s="6">
        <v>5.0081949452399431E-2</v>
      </c>
      <c r="I166" s="6">
        <f t="shared" si="3"/>
        <v>2.4927413543550436</v>
      </c>
      <c r="K166" s="12">
        <v>3.3000000000000002E-2</v>
      </c>
    </row>
    <row r="167" spans="1:11" x14ac:dyDescent="0.55000000000000004">
      <c r="A167" s="1">
        <v>135</v>
      </c>
      <c r="B167">
        <v>25</v>
      </c>
      <c r="C167" s="5">
        <v>45182</v>
      </c>
      <c r="E167">
        <v>40</v>
      </c>
      <c r="F167" s="6">
        <v>5.8302195842826698E-2</v>
      </c>
      <c r="G167" s="6">
        <v>3.7845298556769276E-2</v>
      </c>
      <c r="I167" s="6">
        <f t="shared" si="3"/>
        <v>1.5405399895411409</v>
      </c>
      <c r="K167" s="12">
        <v>2.5600000000000001E-2</v>
      </c>
    </row>
    <row r="168" spans="1:11" x14ac:dyDescent="0.55000000000000004">
      <c r="A168" s="1">
        <v>136</v>
      </c>
      <c r="B168">
        <v>25</v>
      </c>
      <c r="C168" s="5">
        <v>45182</v>
      </c>
      <c r="E168">
        <v>55</v>
      </c>
      <c r="F168" s="6">
        <v>1.5701695127648688E-2</v>
      </c>
      <c r="G168" s="6">
        <v>2.3505250518359718E-2</v>
      </c>
      <c r="I168" s="6">
        <f t="shared" si="3"/>
        <v>0.6680079889122752</v>
      </c>
      <c r="K168" s="12">
        <v>2.1000000000000001E-2</v>
      </c>
    </row>
    <row r="169" spans="1:11" x14ac:dyDescent="0.55000000000000004">
      <c r="B169"/>
      <c r="C169" s="5"/>
      <c r="E169"/>
      <c r="K169" s="12"/>
    </row>
    <row r="170" spans="1:11" x14ac:dyDescent="0.55000000000000004">
      <c r="A170" s="1">
        <v>137</v>
      </c>
      <c r="B170">
        <v>26</v>
      </c>
      <c r="C170" s="5">
        <v>45183</v>
      </c>
      <c r="E170">
        <v>1.9</v>
      </c>
      <c r="F170" s="6">
        <v>0.46075466030313367</v>
      </c>
      <c r="G170" s="6">
        <v>0.19912839410814628</v>
      </c>
      <c r="I170" s="6">
        <f t="shared" si="3"/>
        <v>2.3138571591799137</v>
      </c>
      <c r="K170" s="12">
        <v>5.2600000000000001E-2</v>
      </c>
    </row>
    <row r="171" spans="1:11" x14ac:dyDescent="0.55000000000000004">
      <c r="A171" s="1">
        <v>138</v>
      </c>
      <c r="B171">
        <v>26</v>
      </c>
      <c r="C171" s="5">
        <v>45183</v>
      </c>
      <c r="E171">
        <v>10.4</v>
      </c>
      <c r="F171" s="6">
        <v>0.50580050698081436</v>
      </c>
      <c r="G171" s="6">
        <v>0.14322523940541695</v>
      </c>
      <c r="I171" s="6">
        <f t="shared" si="3"/>
        <v>3.5315040078172446</v>
      </c>
      <c r="K171" s="12">
        <v>5.2600000000000001E-2</v>
      </c>
    </row>
    <row r="172" spans="1:11" x14ac:dyDescent="0.55000000000000004">
      <c r="A172" s="1">
        <v>139</v>
      </c>
      <c r="B172">
        <v>26</v>
      </c>
      <c r="C172" s="5">
        <v>45183</v>
      </c>
      <c r="E172">
        <v>20.2</v>
      </c>
      <c r="F172" s="6">
        <v>0.57787386166510346</v>
      </c>
      <c r="G172" s="6">
        <v>0.15921671647985458</v>
      </c>
      <c r="I172" s="6">
        <f t="shared" si="3"/>
        <v>3.6294798337850462</v>
      </c>
      <c r="K172" s="12">
        <v>5.3699999999999998E-2</v>
      </c>
    </row>
    <row r="173" spans="1:11" x14ac:dyDescent="0.55000000000000004">
      <c r="A173" s="1">
        <v>140</v>
      </c>
      <c r="B173">
        <v>26</v>
      </c>
      <c r="C173" s="5">
        <v>45183</v>
      </c>
      <c r="E173">
        <v>29.8</v>
      </c>
      <c r="F173" s="6">
        <v>0.13385051584225116</v>
      </c>
      <c r="G173" s="6">
        <v>9.1740217567089513E-2</v>
      </c>
      <c r="I173" s="6">
        <f t="shared" si="3"/>
        <v>1.459016769219742</v>
      </c>
      <c r="K173" s="12">
        <v>3.8399999999999997E-2</v>
      </c>
    </row>
    <row r="174" spans="1:11" x14ac:dyDescent="0.55000000000000004">
      <c r="A174" s="1">
        <v>141</v>
      </c>
      <c r="B174">
        <v>26</v>
      </c>
      <c r="C174" s="5">
        <v>45183</v>
      </c>
      <c r="E174">
        <v>40</v>
      </c>
      <c r="F174" s="6">
        <v>3.4106141055958224E-2</v>
      </c>
      <c r="G174" s="6">
        <v>3.5018720036850436E-2</v>
      </c>
      <c r="I174" s="6">
        <f t="shared" si="3"/>
        <v>0.97394025310085863</v>
      </c>
      <c r="K174" s="12">
        <v>2.5600000000000001E-2</v>
      </c>
    </row>
    <row r="175" spans="1:11" x14ac:dyDescent="0.55000000000000004">
      <c r="A175" s="1">
        <v>142</v>
      </c>
      <c r="B175">
        <v>26</v>
      </c>
      <c r="C175" s="5">
        <v>45183</v>
      </c>
      <c r="E175">
        <v>55</v>
      </c>
      <c r="F175" s="6">
        <v>1.6731314480281395E-2</v>
      </c>
      <c r="G175" s="6">
        <v>2.1269263607388289E-2</v>
      </c>
      <c r="I175" s="6">
        <f t="shared" si="3"/>
        <v>0.78664286592740573</v>
      </c>
      <c r="K175" s="12">
        <v>2.0899999999999998E-2</v>
      </c>
    </row>
    <row r="176" spans="1:11" x14ac:dyDescent="0.55000000000000004">
      <c r="B176"/>
      <c r="C176" s="5"/>
      <c r="E176"/>
      <c r="K176" s="12"/>
    </row>
    <row r="177" spans="1:11" x14ac:dyDescent="0.55000000000000004">
      <c r="A177" s="1">
        <v>143</v>
      </c>
      <c r="B177">
        <v>27</v>
      </c>
      <c r="C177" s="5">
        <v>45183</v>
      </c>
      <c r="E177">
        <v>2.4</v>
      </c>
      <c r="F177" s="6">
        <v>0.42600500715178019</v>
      </c>
      <c r="G177" s="6">
        <v>0.21698890144275762</v>
      </c>
      <c r="I177" s="6">
        <f t="shared" si="3"/>
        <v>1.9632571266054439</v>
      </c>
      <c r="K177" s="12">
        <v>5.4600000000000003E-2</v>
      </c>
    </row>
    <row r="178" spans="1:11" x14ac:dyDescent="0.55000000000000004">
      <c r="A178" s="1">
        <v>144</v>
      </c>
      <c r="B178">
        <v>27</v>
      </c>
      <c r="C178" s="5">
        <v>45183</v>
      </c>
      <c r="E178">
        <v>9.9</v>
      </c>
      <c r="F178" s="6">
        <v>0.55342040204007681</v>
      </c>
      <c r="G178" s="6">
        <v>0.23071851088009127</v>
      </c>
      <c r="I178" s="6">
        <f t="shared" si="3"/>
        <v>2.3986822727358006</v>
      </c>
      <c r="K178" s="12">
        <v>5.67E-2</v>
      </c>
    </row>
    <row r="179" spans="1:11" x14ac:dyDescent="0.55000000000000004">
      <c r="A179" s="1">
        <v>145</v>
      </c>
      <c r="B179">
        <v>27</v>
      </c>
      <c r="C179" s="5">
        <v>45183</v>
      </c>
      <c r="E179">
        <v>19.899999999999999</v>
      </c>
      <c r="F179" s="6">
        <v>0.59460517614538488</v>
      </c>
      <c r="G179" s="6">
        <v>0.21124835282488</v>
      </c>
      <c r="I179" s="6">
        <f t="shared" si="3"/>
        <v>2.8147210058404517</v>
      </c>
      <c r="K179" s="12">
        <v>6.13E-2</v>
      </c>
    </row>
    <row r="180" spans="1:11" x14ac:dyDescent="0.55000000000000004">
      <c r="A180" s="1">
        <v>146</v>
      </c>
      <c r="B180">
        <v>27</v>
      </c>
      <c r="C180" s="5">
        <v>45183</v>
      </c>
      <c r="E180">
        <v>29.6</v>
      </c>
      <c r="F180" s="6">
        <v>0.27284912844766579</v>
      </c>
      <c r="G180" s="6">
        <v>7.4584728353885632E-2</v>
      </c>
      <c r="I180" s="6">
        <f t="shared" si="3"/>
        <v>3.6582439122532677</v>
      </c>
      <c r="K180" s="12">
        <v>4.7699999999999999E-2</v>
      </c>
    </row>
    <row r="181" spans="1:11" x14ac:dyDescent="0.55000000000000004">
      <c r="A181" s="1">
        <v>147</v>
      </c>
      <c r="B181">
        <v>27</v>
      </c>
      <c r="C181" s="5">
        <v>45183</v>
      </c>
      <c r="E181">
        <v>40.1</v>
      </c>
      <c r="F181" s="6">
        <v>8.10825240198252E-2</v>
      </c>
      <c r="G181" s="6">
        <v>4.6792437164079131E-2</v>
      </c>
      <c r="I181" s="6">
        <f t="shared" si="3"/>
        <v>1.7328125854079115</v>
      </c>
      <c r="K181" s="12">
        <v>2.8899999999999999E-2</v>
      </c>
    </row>
    <row r="182" spans="1:11" x14ac:dyDescent="0.55000000000000004">
      <c r="A182" s="1">
        <v>148</v>
      </c>
      <c r="B182">
        <v>27</v>
      </c>
      <c r="C182" s="5">
        <v>45183</v>
      </c>
      <c r="E182">
        <v>55</v>
      </c>
      <c r="F182" s="6">
        <v>2.1493303986207635E-2</v>
      </c>
      <c r="G182" s="6">
        <v>2.3745479451494376E-2</v>
      </c>
      <c r="I182" s="6">
        <f t="shared" si="3"/>
        <v>0.90515350638055847</v>
      </c>
      <c r="K182" s="12">
        <v>2.0899999999999998E-2</v>
      </c>
    </row>
    <row r="183" spans="1:11" x14ac:dyDescent="0.55000000000000004">
      <c r="B183"/>
      <c r="C183" s="5"/>
      <c r="E183"/>
      <c r="K183" s="12"/>
    </row>
    <row r="184" spans="1:11" x14ac:dyDescent="0.55000000000000004">
      <c r="A184" s="1">
        <v>149</v>
      </c>
      <c r="B184">
        <v>30</v>
      </c>
      <c r="C184" s="5">
        <v>45185</v>
      </c>
      <c r="E184">
        <v>2.4</v>
      </c>
      <c r="F184" s="6">
        <v>0.35393165246749098</v>
      </c>
      <c r="G184" s="6">
        <v>0.20702926216001385</v>
      </c>
      <c r="I184" s="6">
        <f t="shared" si="3"/>
        <v>1.7095730756840335</v>
      </c>
      <c r="K184" s="12">
        <v>5.0500000000000003E-2</v>
      </c>
    </row>
    <row r="185" spans="1:11" x14ac:dyDescent="0.55000000000000004">
      <c r="A185" s="1">
        <v>150</v>
      </c>
      <c r="B185">
        <v>30</v>
      </c>
      <c r="C185" s="5">
        <v>45185</v>
      </c>
      <c r="E185">
        <v>19.600000000000001</v>
      </c>
      <c r="F185" s="6">
        <v>0.41956988619782559</v>
      </c>
      <c r="G185" s="6">
        <v>0.23790043309677689</v>
      </c>
      <c r="I185" s="6">
        <f t="shared" si="3"/>
        <v>1.763636495891314</v>
      </c>
      <c r="K185" s="12">
        <v>5.0299999999999997E-2</v>
      </c>
    </row>
    <row r="186" spans="1:11" x14ac:dyDescent="0.55000000000000004">
      <c r="A186" s="1">
        <v>151</v>
      </c>
      <c r="B186">
        <v>30</v>
      </c>
      <c r="C186" s="5">
        <v>45185</v>
      </c>
      <c r="E186">
        <v>30.1</v>
      </c>
      <c r="F186" s="6">
        <v>0.37838511209251763</v>
      </c>
      <c r="G186" s="6">
        <v>0.10898738147632522</v>
      </c>
      <c r="I186" s="6">
        <f t="shared" si="3"/>
        <v>3.4718249669546588</v>
      </c>
      <c r="K186" s="12">
        <v>6.3399999999999998E-2</v>
      </c>
    </row>
    <row r="187" spans="1:11" x14ac:dyDescent="0.55000000000000004">
      <c r="A187" s="1">
        <v>152</v>
      </c>
      <c r="B187">
        <v>30</v>
      </c>
      <c r="C187" s="5">
        <v>45185</v>
      </c>
      <c r="E187">
        <v>40.1</v>
      </c>
      <c r="F187" s="6">
        <v>0.15830397546727779</v>
      </c>
      <c r="G187" s="6">
        <v>6.2461287708708006E-2</v>
      </c>
      <c r="I187" s="6">
        <f t="shared" si="3"/>
        <v>2.5344334270778717</v>
      </c>
      <c r="K187" s="12">
        <v>3.9399999999999998E-2</v>
      </c>
    </row>
    <row r="188" spans="1:11" x14ac:dyDescent="0.55000000000000004">
      <c r="A188" s="1">
        <v>153</v>
      </c>
      <c r="B188">
        <v>30</v>
      </c>
      <c r="C188" s="5">
        <v>45185</v>
      </c>
      <c r="E188">
        <v>55.2</v>
      </c>
      <c r="F188" s="6">
        <v>4.0026452333596259E-2</v>
      </c>
      <c r="G188" s="6">
        <v>2.5841216351697859E-2</v>
      </c>
      <c r="I188" s="6">
        <f t="shared" si="3"/>
        <v>1.5489384009188245</v>
      </c>
      <c r="K188" s="12">
        <v>2.4400000000000002E-2</v>
      </c>
    </row>
    <row r="189" spans="1:11" x14ac:dyDescent="0.55000000000000004">
      <c r="B189"/>
      <c r="C189" s="5"/>
      <c r="E189"/>
      <c r="K189" s="12"/>
    </row>
    <row r="190" spans="1:11" x14ac:dyDescent="0.55000000000000004">
      <c r="A190" s="1">
        <v>154</v>
      </c>
      <c r="B190">
        <v>31</v>
      </c>
      <c r="C190" s="5">
        <v>45186</v>
      </c>
      <c r="E190">
        <v>2.9</v>
      </c>
      <c r="F190" s="6">
        <v>0.44144929744127054</v>
      </c>
      <c r="G190" s="6">
        <v>0.17621089242815421</v>
      </c>
      <c r="I190" s="6">
        <f t="shared" si="3"/>
        <v>2.5052327433235204</v>
      </c>
      <c r="K190" s="12">
        <v>5.7500000000000002E-2</v>
      </c>
    </row>
    <row r="191" spans="1:11" x14ac:dyDescent="0.55000000000000004">
      <c r="A191" s="1">
        <v>155</v>
      </c>
      <c r="B191">
        <v>31</v>
      </c>
      <c r="C191" s="5">
        <v>45186</v>
      </c>
      <c r="E191">
        <v>9</v>
      </c>
      <c r="F191" s="6">
        <v>0.53411503917821368</v>
      </c>
      <c r="G191" s="6">
        <v>0.16919724733326005</v>
      </c>
      <c r="I191" s="6">
        <f t="shared" si="3"/>
        <v>3.1567596258004826</v>
      </c>
      <c r="K191" s="12">
        <v>6.1800000000000001E-2</v>
      </c>
    </row>
    <row r="192" spans="1:11" x14ac:dyDescent="0.55000000000000004">
      <c r="A192" s="1">
        <v>156</v>
      </c>
      <c r="B192">
        <v>31</v>
      </c>
      <c r="C192" s="5">
        <v>45186</v>
      </c>
      <c r="E192">
        <v>19</v>
      </c>
      <c r="F192" s="6">
        <v>0.42857905553336179</v>
      </c>
      <c r="G192" s="6">
        <v>0.19511297212775652</v>
      </c>
      <c r="I192" s="6">
        <f t="shared" si="3"/>
        <v>2.1965687409688774</v>
      </c>
      <c r="K192" s="12">
        <v>5.9799999999999999E-2</v>
      </c>
    </row>
    <row r="193" spans="1:16" x14ac:dyDescent="0.55000000000000004">
      <c r="A193" s="1">
        <v>157</v>
      </c>
      <c r="B193">
        <v>31</v>
      </c>
      <c r="C193" s="5">
        <v>45186</v>
      </c>
      <c r="E193">
        <v>29</v>
      </c>
      <c r="F193" s="6">
        <v>0</v>
      </c>
      <c r="G193" s="6">
        <v>0</v>
      </c>
      <c r="K193" s="12">
        <v>5.5199999999999999E-2</v>
      </c>
    </row>
    <row r="194" spans="1:16" x14ac:dyDescent="0.55000000000000004">
      <c r="A194" s="1">
        <v>158</v>
      </c>
      <c r="B194">
        <v>31</v>
      </c>
      <c r="C194" s="5">
        <v>45186</v>
      </c>
      <c r="E194">
        <v>40</v>
      </c>
      <c r="F194" s="6">
        <v>7.0786330493498167E-2</v>
      </c>
      <c r="G194" s="6">
        <v>6.6739571157115943E-2</v>
      </c>
      <c r="I194" s="6">
        <f t="shared" si="3"/>
        <v>1.0606350814999319</v>
      </c>
      <c r="K194" s="12">
        <v>3.3599999999999998E-2</v>
      </c>
    </row>
    <row r="195" spans="1:16" x14ac:dyDescent="0.55000000000000004">
      <c r="A195" s="1">
        <v>159</v>
      </c>
      <c r="B195">
        <v>31</v>
      </c>
      <c r="C195" s="5">
        <v>45186</v>
      </c>
      <c r="E195">
        <v>55</v>
      </c>
      <c r="F195" s="6">
        <v>1.7374826575676836E-2</v>
      </c>
      <c r="G195" s="6">
        <v>3.4498978432888121E-2</v>
      </c>
      <c r="I195" s="6">
        <f t="shared" si="3"/>
        <v>0.50363307451194816</v>
      </c>
      <c r="K195" s="12">
        <v>2.24E-2</v>
      </c>
    </row>
    <row r="196" spans="1:16" x14ac:dyDescent="0.55000000000000004">
      <c r="B196"/>
      <c r="C196" s="5"/>
      <c r="E196"/>
      <c r="K196" s="12"/>
    </row>
    <row r="197" spans="1:16" x14ac:dyDescent="0.55000000000000004">
      <c r="A197" s="1">
        <v>160</v>
      </c>
      <c r="B197">
        <v>32</v>
      </c>
      <c r="C197" s="5">
        <v>45186</v>
      </c>
      <c r="E197">
        <v>3.2</v>
      </c>
      <c r="F197" s="6">
        <v>0.32175604769771909</v>
      </c>
      <c r="G197" s="6">
        <v>0.15475913784607537</v>
      </c>
      <c r="I197" s="6">
        <f t="shared" si="3"/>
        <v>2.0790762482648368</v>
      </c>
      <c r="K197" s="12">
        <v>4.3900000000000002E-2</v>
      </c>
      <c r="O197" s="6"/>
      <c r="P197" s="6"/>
    </row>
    <row r="198" spans="1:16" x14ac:dyDescent="0.55000000000000004">
      <c r="A198" s="1">
        <v>161</v>
      </c>
      <c r="B198">
        <v>32</v>
      </c>
      <c r="C198" s="5">
        <v>45186</v>
      </c>
      <c r="E198">
        <v>10.1</v>
      </c>
      <c r="F198" s="6">
        <v>0.60490136967171182</v>
      </c>
      <c r="G198" s="6">
        <v>0.13098284091490731</v>
      </c>
      <c r="I198" s="6">
        <f t="shared" si="3"/>
        <v>4.6181726205242759</v>
      </c>
      <c r="K198" s="12">
        <v>5.04E-2</v>
      </c>
      <c r="O198" s="6"/>
      <c r="P198" s="6"/>
    </row>
    <row r="199" spans="1:16" x14ac:dyDescent="0.55000000000000004">
      <c r="A199" s="1">
        <v>162</v>
      </c>
      <c r="B199">
        <v>32</v>
      </c>
      <c r="C199" s="5">
        <v>45186</v>
      </c>
      <c r="E199">
        <v>20</v>
      </c>
      <c r="F199" s="6">
        <v>0.27413615263845664</v>
      </c>
      <c r="G199" s="6">
        <v>0.17342621150520851</v>
      </c>
      <c r="I199" s="6">
        <f t="shared" si="3"/>
        <v>1.5807077272758363</v>
      </c>
      <c r="K199" s="12">
        <v>7.0699999999999999E-2</v>
      </c>
      <c r="O199" s="6"/>
      <c r="P199" s="6"/>
    </row>
    <row r="200" spans="1:16" x14ac:dyDescent="0.55000000000000004">
      <c r="A200" s="1">
        <v>163</v>
      </c>
      <c r="B200">
        <v>32</v>
      </c>
      <c r="C200" s="5">
        <v>45186</v>
      </c>
      <c r="E200">
        <v>29.8</v>
      </c>
      <c r="F200" s="6">
        <v>0.19305362861863146</v>
      </c>
      <c r="G200" s="6">
        <v>0.11336373119940345</v>
      </c>
      <c r="I200" s="6">
        <f t="shared" si="3"/>
        <v>1.7029576088939402</v>
      </c>
      <c r="K200" s="12">
        <v>4.5900000000000003E-2</v>
      </c>
      <c r="O200" s="6"/>
      <c r="P200" s="6"/>
    </row>
    <row r="201" spans="1:16" x14ac:dyDescent="0.55000000000000004">
      <c r="A201" s="1">
        <v>164</v>
      </c>
      <c r="B201">
        <v>32</v>
      </c>
      <c r="C201" s="5">
        <v>45186</v>
      </c>
      <c r="E201">
        <v>40.299999999999997</v>
      </c>
      <c r="F201" s="6">
        <v>7.464740306587081E-2</v>
      </c>
      <c r="G201" s="6">
        <v>7.7354909284807913E-2</v>
      </c>
      <c r="I201" s="6">
        <f t="shared" si="3"/>
        <v>0.9649989090030664</v>
      </c>
      <c r="K201" s="12">
        <v>3.0099999999999998E-2</v>
      </c>
      <c r="O201" s="6"/>
      <c r="P201" s="6"/>
    </row>
    <row r="202" spans="1:16" x14ac:dyDescent="0.55000000000000004">
      <c r="A202" s="1">
        <v>165</v>
      </c>
      <c r="B202">
        <v>32</v>
      </c>
      <c r="C202" s="5">
        <v>45186</v>
      </c>
      <c r="E202">
        <v>55</v>
      </c>
      <c r="F202" s="6">
        <v>3.5007057989511842E-2</v>
      </c>
      <c r="G202" s="6">
        <v>4.9438671094198562E-2</v>
      </c>
      <c r="I202" s="6">
        <f t="shared" si="3"/>
        <v>0.70809059415878561</v>
      </c>
      <c r="K202" s="12">
        <v>2.4E-2</v>
      </c>
      <c r="O202" s="6"/>
      <c r="P202" s="6"/>
    </row>
    <row r="203" spans="1:16" x14ac:dyDescent="0.55000000000000004">
      <c r="B203"/>
      <c r="C203" s="5"/>
      <c r="E203"/>
      <c r="K203" s="12"/>
    </row>
    <row r="204" spans="1:16" x14ac:dyDescent="0.55000000000000004">
      <c r="A204" s="1">
        <v>166</v>
      </c>
      <c r="B204">
        <v>33</v>
      </c>
      <c r="C204" s="5">
        <v>45187</v>
      </c>
      <c r="E204">
        <v>2.5</v>
      </c>
      <c r="F204" s="6">
        <v>0.21879411243444902</v>
      </c>
      <c r="G204" s="6">
        <v>0.14552889018384449</v>
      </c>
      <c r="I204" s="6">
        <f t="shared" si="3"/>
        <v>1.5034410841589574</v>
      </c>
      <c r="K204" s="12">
        <v>4.5999999999999999E-2</v>
      </c>
    </row>
    <row r="205" spans="1:16" x14ac:dyDescent="0.55000000000000004">
      <c r="A205" s="1">
        <v>167</v>
      </c>
      <c r="B205">
        <v>33</v>
      </c>
      <c r="C205" s="5">
        <v>45187</v>
      </c>
      <c r="E205">
        <v>9.9</v>
      </c>
      <c r="F205" s="6">
        <v>0.34620950732274569</v>
      </c>
      <c r="G205" s="6">
        <v>0.11341653240430664</v>
      </c>
      <c r="I205" s="6">
        <f t="shared" si="3"/>
        <v>3.0525488655267639</v>
      </c>
      <c r="K205" s="12">
        <v>5.5100000000000003E-2</v>
      </c>
    </row>
    <row r="206" spans="1:16" x14ac:dyDescent="0.55000000000000004">
      <c r="A206" s="1">
        <v>168</v>
      </c>
      <c r="B206">
        <v>33</v>
      </c>
      <c r="C206" s="5">
        <v>45187</v>
      </c>
      <c r="E206">
        <v>19</v>
      </c>
      <c r="F206" s="6">
        <v>0.18661850766467705</v>
      </c>
      <c r="G206" s="6">
        <v>7.2750517378147764E-2</v>
      </c>
      <c r="I206" s="6">
        <f t="shared" si="3"/>
        <v>2.5651846116043164</v>
      </c>
      <c r="K206" s="12">
        <v>4.7300000000000002E-2</v>
      </c>
    </row>
    <row r="207" spans="1:16" x14ac:dyDescent="0.55000000000000004">
      <c r="A207" s="1">
        <v>169</v>
      </c>
      <c r="B207">
        <v>33</v>
      </c>
      <c r="C207" s="5">
        <v>45187</v>
      </c>
      <c r="E207">
        <v>30</v>
      </c>
      <c r="F207" s="6">
        <v>7.3360378875079943E-2</v>
      </c>
      <c r="G207" s="6">
        <v>7.7435565917260071E-2</v>
      </c>
      <c r="I207" s="6">
        <f t="shared" si="3"/>
        <v>0.9473731870632357</v>
      </c>
      <c r="K207" s="12">
        <v>4.0800000000000003E-2</v>
      </c>
    </row>
    <row r="208" spans="1:16" x14ac:dyDescent="0.55000000000000004">
      <c r="A208" s="1">
        <v>170</v>
      </c>
      <c r="B208">
        <v>33</v>
      </c>
      <c r="C208" s="5">
        <v>45187</v>
      </c>
      <c r="E208">
        <v>39</v>
      </c>
      <c r="F208" s="6">
        <v>5.9203112776380303E-2</v>
      </c>
      <c r="G208" s="6">
        <v>8.6767361782604815E-2</v>
      </c>
      <c r="I208" s="6">
        <f t="shared" si="3"/>
        <v>0.68232007473862577</v>
      </c>
      <c r="K208" s="12">
        <v>3.0099999999999998E-2</v>
      </c>
    </row>
    <row r="209" spans="1:11" x14ac:dyDescent="0.55000000000000004">
      <c r="A209" s="1">
        <v>171</v>
      </c>
      <c r="B209">
        <v>33</v>
      </c>
      <c r="C209" s="5">
        <v>45187</v>
      </c>
      <c r="E209">
        <v>55</v>
      </c>
      <c r="F209" s="6">
        <v>2.9987663645427418E-2</v>
      </c>
      <c r="G209" s="6">
        <v>4.8426227646589395E-2</v>
      </c>
      <c r="I209" s="6">
        <f t="shared" si="3"/>
        <v>0.6192442629286532</v>
      </c>
      <c r="K209" s="12">
        <v>2.4899999999999999E-2</v>
      </c>
    </row>
    <row r="210" spans="1:11" x14ac:dyDescent="0.55000000000000004">
      <c r="B210"/>
      <c r="C210" s="5"/>
      <c r="E210"/>
      <c r="K210" s="12"/>
    </row>
    <row r="211" spans="1:11" x14ac:dyDescent="0.55000000000000004">
      <c r="A211" s="1">
        <v>172</v>
      </c>
      <c r="B211">
        <v>34</v>
      </c>
      <c r="C211" s="5">
        <v>45187</v>
      </c>
      <c r="E211">
        <v>2.7</v>
      </c>
      <c r="F211" s="6">
        <v>0.24839566882263908</v>
      </c>
      <c r="G211" s="6">
        <v>0.2124367384627521</v>
      </c>
      <c r="I211" s="6">
        <f t="shared" si="3"/>
        <v>1.1692688873878183</v>
      </c>
      <c r="K211" s="12">
        <v>4.2599999999999999E-2</v>
      </c>
    </row>
    <row r="212" spans="1:11" x14ac:dyDescent="0.55000000000000004">
      <c r="A212" s="1">
        <v>173</v>
      </c>
      <c r="B212">
        <v>34</v>
      </c>
      <c r="C212" s="5">
        <v>45187</v>
      </c>
      <c r="E212">
        <v>10</v>
      </c>
      <c r="F212" s="6">
        <v>0.33076521703325523</v>
      </c>
      <c r="G212" s="6">
        <v>0.20244924375245912</v>
      </c>
      <c r="I212" s="6">
        <f t="shared" si="3"/>
        <v>1.6338179926109873</v>
      </c>
      <c r="K212" s="12">
        <v>4.3999999999999997E-2</v>
      </c>
    </row>
    <row r="213" spans="1:11" x14ac:dyDescent="0.55000000000000004">
      <c r="A213" s="1">
        <v>174</v>
      </c>
      <c r="B213">
        <v>34</v>
      </c>
      <c r="C213" s="5">
        <v>45187</v>
      </c>
      <c r="E213">
        <v>20</v>
      </c>
      <c r="F213" s="6">
        <v>0.13513754003304201</v>
      </c>
      <c r="G213" s="6">
        <v>0.11337417698473433</v>
      </c>
      <c r="I213" s="6">
        <f t="shared" si="3"/>
        <v>1.1919604942423361</v>
      </c>
      <c r="K213" s="12">
        <v>4.3999999999999997E-2</v>
      </c>
    </row>
    <row r="214" spans="1:11" x14ac:dyDescent="0.55000000000000004">
      <c r="A214" s="1">
        <v>175</v>
      </c>
      <c r="B214">
        <v>34</v>
      </c>
      <c r="C214" s="5">
        <v>45187</v>
      </c>
      <c r="E214">
        <v>30</v>
      </c>
      <c r="F214" s="6">
        <v>6.3064185348752938E-2</v>
      </c>
      <c r="G214" s="6">
        <v>6.3604408276812657E-2</v>
      </c>
      <c r="I214" s="6">
        <f t="shared" si="3"/>
        <v>0.99150651750883967</v>
      </c>
      <c r="K214" s="12">
        <v>3.4500000000000003E-2</v>
      </c>
    </row>
    <row r="215" spans="1:11" x14ac:dyDescent="0.55000000000000004">
      <c r="A215" s="1">
        <v>176</v>
      </c>
      <c r="B215">
        <v>34</v>
      </c>
      <c r="C215" s="5">
        <v>45187</v>
      </c>
      <c r="E215">
        <v>40</v>
      </c>
      <c r="F215" s="6">
        <v>2.7799722521082929E-2</v>
      </c>
      <c r="G215" s="6">
        <v>4.4702967735074137E-2</v>
      </c>
      <c r="I215" s="6">
        <f t="shared" si="3"/>
        <v>0.62187644198108016</v>
      </c>
      <c r="K215" s="12">
        <v>2.4199999999999999E-2</v>
      </c>
    </row>
    <row r="216" spans="1:11" x14ac:dyDescent="0.55000000000000004">
      <c r="A216" s="1">
        <v>177</v>
      </c>
      <c r="B216">
        <v>34</v>
      </c>
      <c r="C216" s="5">
        <v>45187</v>
      </c>
      <c r="E216">
        <v>55</v>
      </c>
      <c r="F216" s="6">
        <v>1.8533148347388624E-2</v>
      </c>
      <c r="G216" s="6">
        <v>4.0458225255374777E-2</v>
      </c>
      <c r="I216" s="6">
        <f t="shared" si="3"/>
        <v>0.45808110045377087</v>
      </c>
      <c r="K216" s="12">
        <v>2.2200000000000001E-2</v>
      </c>
    </row>
    <row r="217" spans="1:11" x14ac:dyDescent="0.55000000000000004">
      <c r="B217"/>
      <c r="C217" s="5"/>
      <c r="E217"/>
      <c r="K217" s="12"/>
    </row>
    <row r="218" spans="1:11" x14ac:dyDescent="0.55000000000000004">
      <c r="A218" s="1">
        <v>178</v>
      </c>
      <c r="B218">
        <v>37</v>
      </c>
      <c r="C218" s="5">
        <v>45188</v>
      </c>
      <c r="E218">
        <v>3.1</v>
      </c>
      <c r="F218" s="6">
        <v>0.20721089471733109</v>
      </c>
      <c r="G218" s="6">
        <v>0.13781022696754286</v>
      </c>
      <c r="I218" s="6">
        <f t="shared" si="3"/>
        <v>1.5035959179294691</v>
      </c>
      <c r="K218" s="12">
        <v>3.4799999999999998E-2</v>
      </c>
    </row>
    <row r="219" spans="1:11" x14ac:dyDescent="0.55000000000000004">
      <c r="A219" s="1">
        <v>179</v>
      </c>
      <c r="B219">
        <v>37</v>
      </c>
      <c r="C219" s="5">
        <v>45188</v>
      </c>
      <c r="E219">
        <v>9.8000000000000007</v>
      </c>
      <c r="F219" s="6">
        <v>0.16860016899360478</v>
      </c>
      <c r="G219" s="6">
        <v>0.15953180687452706</v>
      </c>
      <c r="I219" s="6">
        <f t="shared" si="3"/>
        <v>1.0568435993846046</v>
      </c>
      <c r="K219" s="12">
        <v>4.0300000000000002E-2</v>
      </c>
    </row>
    <row r="220" spans="1:11" x14ac:dyDescent="0.55000000000000004">
      <c r="A220" s="1">
        <v>180</v>
      </c>
      <c r="B220">
        <v>37</v>
      </c>
      <c r="C220" s="5">
        <v>45188</v>
      </c>
      <c r="E220">
        <v>20</v>
      </c>
      <c r="F220" s="6">
        <v>0.17632231413835009</v>
      </c>
      <c r="G220" s="6">
        <v>0.16628607242984639</v>
      </c>
      <c r="I220" s="6">
        <f t="shared" si="3"/>
        <v>1.0603552754710581</v>
      </c>
      <c r="K220" s="12">
        <v>4.0300000000000002E-2</v>
      </c>
    </row>
    <row r="221" spans="1:11" x14ac:dyDescent="0.55000000000000004">
      <c r="A221" s="1">
        <v>181</v>
      </c>
      <c r="B221">
        <v>37</v>
      </c>
      <c r="C221" s="5">
        <v>45188</v>
      </c>
      <c r="E221">
        <v>30</v>
      </c>
      <c r="F221" s="6">
        <v>0.13385051584225116</v>
      </c>
      <c r="G221" s="6">
        <v>0.12793124431725109</v>
      </c>
      <c r="I221" s="6">
        <f t="shared" si="3"/>
        <v>1.0462691624441729</v>
      </c>
      <c r="K221" s="12">
        <v>4.1700000000000001E-2</v>
      </c>
    </row>
    <row r="222" spans="1:11" x14ac:dyDescent="0.55000000000000004">
      <c r="A222" s="1">
        <v>182</v>
      </c>
      <c r="B222">
        <v>37</v>
      </c>
      <c r="C222" s="5">
        <v>45188</v>
      </c>
      <c r="E222">
        <v>40</v>
      </c>
      <c r="F222" s="6">
        <v>0.11454515298038798</v>
      </c>
      <c r="G222" s="6">
        <v>7.9680023912145986E-2</v>
      </c>
      <c r="I222" s="6">
        <f t="shared" si="3"/>
        <v>1.4375642395223647</v>
      </c>
      <c r="K222" s="12">
        <v>3.9300000000000002E-2</v>
      </c>
    </row>
    <row r="223" spans="1:11" x14ac:dyDescent="0.55000000000000004">
      <c r="A223" s="1">
        <v>183</v>
      </c>
      <c r="B223">
        <v>37</v>
      </c>
      <c r="C223" s="5">
        <v>45188</v>
      </c>
      <c r="E223">
        <v>55</v>
      </c>
      <c r="F223" s="6">
        <v>8.10825240198252E-2</v>
      </c>
      <c r="G223" s="6">
        <v>4.076059937238552E-2</v>
      </c>
      <c r="I223" s="6">
        <f t="shared" si="3"/>
        <v>1.9892377754081056</v>
      </c>
      <c r="K223" s="12">
        <v>3.0300000000000001E-2</v>
      </c>
    </row>
    <row r="224" spans="1:11" x14ac:dyDescent="0.55000000000000004">
      <c r="B224"/>
      <c r="C224" s="5"/>
      <c r="E224"/>
      <c r="K224" s="12"/>
    </row>
    <row r="225" spans="1:11" x14ac:dyDescent="0.55000000000000004">
      <c r="A225" s="1">
        <v>184</v>
      </c>
      <c r="B225">
        <v>38</v>
      </c>
      <c r="C225" s="5">
        <v>45189</v>
      </c>
      <c r="E225">
        <v>2.5</v>
      </c>
      <c r="F225" s="6">
        <v>0.2509697172042209</v>
      </c>
      <c r="G225" s="6">
        <v>0.19176717670608937</v>
      </c>
      <c r="I225" s="6">
        <f t="shared" si="3"/>
        <v>1.3087209266728055</v>
      </c>
      <c r="K225" s="12">
        <v>5.8999999999999997E-2</v>
      </c>
    </row>
    <row r="226" spans="1:11" x14ac:dyDescent="0.55000000000000004">
      <c r="A226" s="1">
        <v>185</v>
      </c>
      <c r="B226">
        <v>38</v>
      </c>
      <c r="C226" s="5">
        <v>45189</v>
      </c>
      <c r="E226">
        <v>10</v>
      </c>
      <c r="F226" s="6">
        <v>0.19562767700021325</v>
      </c>
      <c r="G226" s="6">
        <v>0.23022007109335502</v>
      </c>
      <c r="I226" s="6">
        <f t="shared" si="3"/>
        <v>0.84974205798453417</v>
      </c>
      <c r="K226" s="12">
        <v>5.4899999999999997E-2</v>
      </c>
    </row>
    <row r="227" spans="1:11" x14ac:dyDescent="0.55000000000000004">
      <c r="A227" s="1">
        <v>186</v>
      </c>
      <c r="B227">
        <v>38</v>
      </c>
      <c r="C227" s="5">
        <v>45189</v>
      </c>
      <c r="E227">
        <v>19</v>
      </c>
      <c r="F227" s="6">
        <v>0.14414670936857818</v>
      </c>
      <c r="G227" s="6">
        <v>0.14538150463271463</v>
      </c>
      <c r="I227" s="6">
        <f t="shared" si="3"/>
        <v>0.99150651750884011</v>
      </c>
      <c r="K227" s="12">
        <v>4.7899999999999998E-2</v>
      </c>
    </row>
    <row r="228" spans="1:11" x14ac:dyDescent="0.55000000000000004">
      <c r="A228" s="1">
        <v>187</v>
      </c>
      <c r="B228">
        <v>38</v>
      </c>
      <c r="C228" s="5">
        <v>45189</v>
      </c>
      <c r="E228">
        <v>30</v>
      </c>
      <c r="F228" s="6">
        <v>0.10038788688168834</v>
      </c>
      <c r="G228" s="6">
        <v>8.780545221915198E-2</v>
      </c>
      <c r="I228" s="6">
        <f t="shared" si="3"/>
        <v>1.1432990132677878</v>
      </c>
      <c r="K228" s="12">
        <v>4.0300000000000002E-2</v>
      </c>
    </row>
    <row r="229" spans="1:11" x14ac:dyDescent="0.55000000000000004">
      <c r="A229" s="1">
        <v>188</v>
      </c>
      <c r="B229">
        <v>38</v>
      </c>
      <c r="C229" s="5">
        <v>45189</v>
      </c>
      <c r="E229">
        <v>40</v>
      </c>
      <c r="F229" s="6">
        <v>5.9203112776380303E-2</v>
      </c>
      <c r="G229" s="6">
        <v>4.0925394565733457E-2</v>
      </c>
      <c r="I229" s="6">
        <f t="shared" si="3"/>
        <v>1.4466106779078105</v>
      </c>
      <c r="K229" s="12">
        <v>3.2300000000000002E-2</v>
      </c>
    </row>
    <row r="230" spans="1:11" x14ac:dyDescent="0.55000000000000004">
      <c r="A230" s="1">
        <v>189</v>
      </c>
      <c r="B230">
        <v>38</v>
      </c>
      <c r="C230" s="5">
        <v>45189</v>
      </c>
      <c r="E230">
        <v>55</v>
      </c>
      <c r="F230" s="6">
        <v>7.8508475638243452E-2</v>
      </c>
      <c r="G230" s="6">
        <v>5.2985588220677053E-2</v>
      </c>
      <c r="I230" s="6">
        <f t="shared" ref="I230:I272" si="4">F230/G230</f>
        <v>1.481694896190779</v>
      </c>
      <c r="K230" s="12">
        <v>3.3000000000000002E-2</v>
      </c>
    </row>
    <row r="231" spans="1:11" x14ac:dyDescent="0.55000000000000004">
      <c r="B231"/>
      <c r="C231" s="5"/>
      <c r="E231"/>
      <c r="K231" s="12"/>
    </row>
    <row r="232" spans="1:11" x14ac:dyDescent="0.55000000000000004">
      <c r="A232" s="1">
        <v>190</v>
      </c>
      <c r="B232">
        <v>40</v>
      </c>
      <c r="C232" s="5">
        <v>45190</v>
      </c>
      <c r="E232">
        <v>3.3</v>
      </c>
      <c r="F232" s="6">
        <v>0.1441467093685781</v>
      </c>
      <c r="G232" s="6">
        <v>0.19484257452460227</v>
      </c>
      <c r="I232" s="6">
        <f t="shared" si="4"/>
        <v>0.73981115123469621</v>
      </c>
      <c r="K232" s="13">
        <v>4.8500000000000001E-2</v>
      </c>
    </row>
    <row r="233" spans="1:11" x14ac:dyDescent="0.55000000000000004">
      <c r="A233" s="1">
        <v>191</v>
      </c>
      <c r="B233">
        <v>40</v>
      </c>
      <c r="C233" s="5">
        <v>45190</v>
      </c>
      <c r="E233">
        <v>10</v>
      </c>
      <c r="F233" s="6">
        <v>0.17246124156597742</v>
      </c>
      <c r="G233" s="6">
        <v>0.18462355570228378</v>
      </c>
      <c r="I233" s="6">
        <f t="shared" si="4"/>
        <v>0.93412371411631356</v>
      </c>
      <c r="K233" s="13">
        <v>4.53E-2</v>
      </c>
    </row>
    <row r="234" spans="1:11" x14ac:dyDescent="0.55000000000000004">
      <c r="A234" s="1">
        <v>192</v>
      </c>
      <c r="B234">
        <v>40</v>
      </c>
      <c r="C234" s="5">
        <v>45190</v>
      </c>
      <c r="E234">
        <v>20</v>
      </c>
      <c r="F234" s="6">
        <v>3.732370153293544E-2</v>
      </c>
      <c r="G234" s="6">
        <v>0.28477643654350276</v>
      </c>
      <c r="I234" s="6">
        <f t="shared" si="4"/>
        <v>0.1310631665525242</v>
      </c>
      <c r="K234" s="13">
        <v>4.2799999999999998E-2</v>
      </c>
    </row>
    <row r="235" spans="1:11" x14ac:dyDescent="0.55000000000000004">
      <c r="A235" s="1">
        <v>193</v>
      </c>
      <c r="B235">
        <v>40</v>
      </c>
      <c r="C235" s="5">
        <v>45190</v>
      </c>
      <c r="E235">
        <v>30</v>
      </c>
      <c r="F235" s="6">
        <v>8.4943596592197815E-2</v>
      </c>
      <c r="G235" s="6">
        <v>0.11169431541701358</v>
      </c>
      <c r="I235" s="6">
        <f t="shared" si="4"/>
        <v>0.76050062418180131</v>
      </c>
      <c r="K235" s="13">
        <v>4.0300000000000002E-2</v>
      </c>
    </row>
    <row r="236" spans="1:11" x14ac:dyDescent="0.55000000000000004">
      <c r="A236" s="1">
        <v>194</v>
      </c>
      <c r="B236">
        <v>40</v>
      </c>
      <c r="C236" s="5">
        <v>45190</v>
      </c>
      <c r="E236">
        <v>40</v>
      </c>
      <c r="F236" s="6">
        <v>7.8508475638243425E-2</v>
      </c>
      <c r="G236" s="6">
        <v>6.3842896245725533E-2</v>
      </c>
      <c r="I236" s="6">
        <f t="shared" si="4"/>
        <v>1.2297135665034902</v>
      </c>
      <c r="K236" s="13">
        <v>3.1800000000000002E-2</v>
      </c>
    </row>
    <row r="237" spans="1:11" x14ac:dyDescent="0.55000000000000004">
      <c r="A237" s="1">
        <v>195</v>
      </c>
      <c r="B237">
        <v>40</v>
      </c>
      <c r="C237" s="5">
        <v>45190</v>
      </c>
      <c r="E237">
        <v>55</v>
      </c>
      <c r="F237" s="6">
        <v>6.7182662759283723E-2</v>
      </c>
      <c r="G237" s="6">
        <v>3.5117306187839738E-2</v>
      </c>
      <c r="I237" s="6">
        <f t="shared" si="4"/>
        <v>1.9130927184428352</v>
      </c>
      <c r="K237" s="13">
        <v>2.7699999999999999E-2</v>
      </c>
    </row>
    <row r="238" spans="1:11" x14ac:dyDescent="0.55000000000000004">
      <c r="B238"/>
      <c r="C238" s="5"/>
      <c r="E238"/>
      <c r="K238" s="13"/>
    </row>
    <row r="239" spans="1:11" x14ac:dyDescent="0.55000000000000004">
      <c r="A239" s="1">
        <v>196</v>
      </c>
      <c r="B239">
        <v>41</v>
      </c>
      <c r="C239" s="5">
        <v>45190</v>
      </c>
      <c r="E239">
        <v>2.9</v>
      </c>
      <c r="F239" s="6">
        <v>0.10553598364485185</v>
      </c>
      <c r="G239" s="6">
        <v>0.12126111732282757</v>
      </c>
      <c r="I239" s="6">
        <f t="shared" si="4"/>
        <v>0.87032006610897816</v>
      </c>
      <c r="K239" s="12">
        <v>3.1E-2</v>
      </c>
    </row>
    <row r="240" spans="1:11" x14ac:dyDescent="0.55000000000000004">
      <c r="A240" s="1">
        <v>197</v>
      </c>
      <c r="B240">
        <v>41</v>
      </c>
      <c r="C240" s="5">
        <v>45190</v>
      </c>
      <c r="E240">
        <v>9.8000000000000007</v>
      </c>
      <c r="F240" s="6">
        <v>9.395276592773398E-2</v>
      </c>
      <c r="G240" s="6">
        <v>0.11474882166486459</v>
      </c>
      <c r="I240" s="6">
        <f t="shared" si="4"/>
        <v>0.81876889509273065</v>
      </c>
      <c r="K240" s="12">
        <v>2.9600000000000001E-2</v>
      </c>
    </row>
    <row r="241" spans="1:11" x14ac:dyDescent="0.55000000000000004">
      <c r="A241" s="1">
        <v>198</v>
      </c>
      <c r="B241">
        <v>41</v>
      </c>
      <c r="C241" s="5">
        <v>45190</v>
      </c>
      <c r="E241">
        <v>19.8</v>
      </c>
      <c r="F241" s="6">
        <v>9.9100862690897462E-2</v>
      </c>
      <c r="G241" s="6">
        <v>0.13010897339345939</v>
      </c>
      <c r="I241" s="6">
        <f t="shared" si="4"/>
        <v>0.76167584837679836</v>
      </c>
      <c r="K241" s="12">
        <v>3.1300000000000001E-2</v>
      </c>
    </row>
    <row r="242" spans="1:11" x14ac:dyDescent="0.55000000000000004">
      <c r="A242" s="1">
        <v>199</v>
      </c>
      <c r="B242">
        <v>41</v>
      </c>
      <c r="C242" s="5">
        <v>45190</v>
      </c>
      <c r="E242">
        <v>30.2</v>
      </c>
      <c r="F242" s="6">
        <v>0.11068408040801538</v>
      </c>
      <c r="G242" s="6">
        <v>0.13300216637640605</v>
      </c>
      <c r="I242" s="6">
        <f t="shared" si="4"/>
        <v>0.8321975756001686</v>
      </c>
      <c r="K242" s="12">
        <v>3.4200000000000001E-2</v>
      </c>
    </row>
    <row r="243" spans="1:11" x14ac:dyDescent="0.55000000000000004">
      <c r="A243" s="1">
        <v>200</v>
      </c>
      <c r="B243">
        <v>41</v>
      </c>
      <c r="C243" s="5">
        <v>45190</v>
      </c>
      <c r="E243">
        <v>40</v>
      </c>
      <c r="F243" s="6">
        <v>7.9795499829034347E-2</v>
      </c>
      <c r="G243" s="6">
        <v>0.10839783927180598</v>
      </c>
      <c r="I243" s="6">
        <f t="shared" si="4"/>
        <v>0.73613552045948361</v>
      </c>
      <c r="K243" s="12">
        <v>3.3000000000000002E-2</v>
      </c>
    </row>
    <row r="244" spans="1:11" x14ac:dyDescent="0.55000000000000004">
      <c r="A244" s="1">
        <v>201</v>
      </c>
      <c r="B244">
        <v>41</v>
      </c>
      <c r="C244" s="5">
        <v>45190</v>
      </c>
      <c r="E244">
        <v>54.8</v>
      </c>
      <c r="F244" s="6">
        <v>6.0361434548092091E-2</v>
      </c>
      <c r="G244" s="6">
        <v>5.9189590483275073E-2</v>
      </c>
      <c r="I244" s="6">
        <f t="shared" si="4"/>
        <v>1.0197981444921154</v>
      </c>
      <c r="K244" s="12">
        <v>2.98E-2</v>
      </c>
    </row>
    <row r="245" spans="1:11" x14ac:dyDescent="0.55000000000000004">
      <c r="B245"/>
      <c r="C245" s="5"/>
      <c r="E245"/>
      <c r="K245" s="12"/>
    </row>
    <row r="246" spans="1:11" x14ac:dyDescent="0.55000000000000004">
      <c r="A246" s="1">
        <v>202</v>
      </c>
      <c r="B246">
        <v>42</v>
      </c>
      <c r="C246" s="5">
        <v>45191</v>
      </c>
      <c r="E246">
        <v>3.8</v>
      </c>
      <c r="F246" s="6">
        <v>0.12484134650671504</v>
      </c>
      <c r="G246" s="6">
        <v>9.1098446435915845E-2</v>
      </c>
      <c r="I246" s="6">
        <f t="shared" si="4"/>
        <v>1.3704003898083597</v>
      </c>
      <c r="K246" s="12">
        <v>3.5000000000000003E-2</v>
      </c>
    </row>
    <row r="247" spans="1:11" x14ac:dyDescent="0.55000000000000004">
      <c r="A247" s="1">
        <v>203</v>
      </c>
      <c r="B247">
        <v>42</v>
      </c>
      <c r="C247" s="5">
        <v>45191</v>
      </c>
      <c r="E247">
        <v>9</v>
      </c>
      <c r="F247" s="6">
        <v>0.11325812878959708</v>
      </c>
      <c r="G247" s="6">
        <v>9.9062561478017674E-2</v>
      </c>
      <c r="I247" s="6">
        <f t="shared" si="4"/>
        <v>1.1432990132677869</v>
      </c>
      <c r="K247" s="12">
        <v>3.3000000000000002E-2</v>
      </c>
    </row>
    <row r="248" spans="1:11" x14ac:dyDescent="0.55000000000000004">
      <c r="A248" s="1">
        <v>204</v>
      </c>
      <c r="B248">
        <v>42</v>
      </c>
      <c r="C248" s="5">
        <v>45191</v>
      </c>
      <c r="E248">
        <v>20</v>
      </c>
      <c r="F248" s="6">
        <v>9.5239790118524834E-2</v>
      </c>
      <c r="G248" s="6">
        <v>0.22444761284123604</v>
      </c>
      <c r="I248" s="6">
        <f t="shared" si="4"/>
        <v>0.42432970844690204</v>
      </c>
      <c r="K248" s="12">
        <v>3.4799999999999998E-2</v>
      </c>
    </row>
    <row r="249" spans="1:11" x14ac:dyDescent="0.55000000000000004">
      <c r="A249" s="1">
        <v>205</v>
      </c>
      <c r="B249">
        <v>42</v>
      </c>
      <c r="C249" s="5">
        <v>45191</v>
      </c>
      <c r="E249">
        <v>30</v>
      </c>
      <c r="F249" s="6">
        <v>8.6230620782988709E-2</v>
      </c>
      <c r="G249" s="6">
        <v>0.15263015576807784</v>
      </c>
      <c r="I249" s="6">
        <f t="shared" si="4"/>
        <v>0.56496450749887528</v>
      </c>
      <c r="K249" s="12">
        <v>3.56E-2</v>
      </c>
    </row>
    <row r="250" spans="1:11" x14ac:dyDescent="0.55000000000000004">
      <c r="A250" s="1">
        <v>206</v>
      </c>
      <c r="B250">
        <v>42</v>
      </c>
      <c r="C250" s="5">
        <v>45191</v>
      </c>
      <c r="E250">
        <v>39</v>
      </c>
      <c r="F250" s="6">
        <v>8.7517644973779549E-2</v>
      </c>
      <c r="G250" s="6">
        <v>0.16702590983569041</v>
      </c>
      <c r="I250" s="6">
        <f t="shared" si="4"/>
        <v>0.5239764600586454</v>
      </c>
      <c r="K250" s="12">
        <v>3.7400000000000003E-2</v>
      </c>
    </row>
    <row r="251" spans="1:11" x14ac:dyDescent="0.55000000000000004">
      <c r="A251" s="1">
        <v>207</v>
      </c>
      <c r="B251">
        <v>42</v>
      </c>
      <c r="C251" s="5">
        <v>45191</v>
      </c>
      <c r="E251">
        <v>55</v>
      </c>
      <c r="F251" s="6">
        <v>6.8212282111916447E-2</v>
      </c>
      <c r="G251" s="6">
        <v>8.2583662680423567E-2</v>
      </c>
      <c r="I251" s="6">
        <f t="shared" si="4"/>
        <v>0.82597792224207256</v>
      </c>
      <c r="K251" s="12">
        <v>3.5099999999999999E-2</v>
      </c>
    </row>
    <row r="252" spans="1:11" x14ac:dyDescent="0.55000000000000004">
      <c r="B252"/>
      <c r="C252" s="5"/>
      <c r="E252"/>
      <c r="K252" s="12"/>
    </row>
    <row r="253" spans="1:11" x14ac:dyDescent="0.55000000000000004">
      <c r="A253" s="1">
        <v>208</v>
      </c>
      <c r="B253">
        <v>43</v>
      </c>
      <c r="C253" s="5">
        <v>45191</v>
      </c>
      <c r="E253">
        <v>2.9</v>
      </c>
      <c r="F253" s="6">
        <v>0.22522923338840337</v>
      </c>
      <c r="G253" s="6">
        <v>0.11737915317979314</v>
      </c>
      <c r="I253" s="6">
        <f t="shared" si="4"/>
        <v>1.9188180122871823</v>
      </c>
      <c r="K253" s="12">
        <v>4.2999999999999997E-2</v>
      </c>
    </row>
    <row r="254" spans="1:11" x14ac:dyDescent="0.55000000000000004">
      <c r="A254" s="1">
        <v>209</v>
      </c>
      <c r="B254">
        <v>43</v>
      </c>
      <c r="C254" s="5">
        <v>45191</v>
      </c>
      <c r="E254">
        <v>9.9</v>
      </c>
      <c r="F254" s="6">
        <v>0.19047958023704969</v>
      </c>
      <c r="G254" s="6">
        <v>0.1147314120226465</v>
      </c>
      <c r="I254" s="6">
        <f t="shared" si="4"/>
        <v>1.6602217028362858</v>
      </c>
      <c r="K254" s="12">
        <v>4.3400000000000001E-2</v>
      </c>
    </row>
    <row r="255" spans="1:11" x14ac:dyDescent="0.55000000000000004">
      <c r="A255" s="1">
        <v>210</v>
      </c>
      <c r="B255">
        <v>43</v>
      </c>
      <c r="C255" s="5">
        <v>45191</v>
      </c>
      <c r="E255">
        <v>20</v>
      </c>
      <c r="F255" s="6">
        <v>0.14543373355936898</v>
      </c>
      <c r="G255" s="6">
        <v>0.12599896706684308</v>
      </c>
      <c r="I255" s="6">
        <f t="shared" si="4"/>
        <v>1.1542454429980815</v>
      </c>
      <c r="K255" s="12">
        <v>3.9199999999999999E-2</v>
      </c>
    </row>
    <row r="256" spans="1:11" x14ac:dyDescent="0.55000000000000004">
      <c r="A256" s="1">
        <v>211</v>
      </c>
      <c r="B256">
        <v>43</v>
      </c>
      <c r="C256" s="5">
        <v>45191</v>
      </c>
      <c r="E256">
        <v>30</v>
      </c>
      <c r="F256" s="6">
        <v>0.12612837069750585</v>
      </c>
      <c r="G256" s="6">
        <v>0.20079723761228729</v>
      </c>
      <c r="I256" s="6">
        <f t="shared" si="4"/>
        <v>0.62813797738115762</v>
      </c>
      <c r="K256" s="12">
        <v>4.5199999999999997E-2</v>
      </c>
    </row>
    <row r="257" spans="1:11" x14ac:dyDescent="0.55000000000000004">
      <c r="A257" s="1">
        <v>212</v>
      </c>
      <c r="B257">
        <v>43</v>
      </c>
      <c r="C257" s="5">
        <v>45191</v>
      </c>
      <c r="E257">
        <v>40</v>
      </c>
      <c r="F257" s="6">
        <v>0.12998944326987852</v>
      </c>
      <c r="G257" s="6">
        <v>0.18245975433984998</v>
      </c>
      <c r="I257" s="6">
        <f t="shared" si="4"/>
        <v>0.71242802962323337</v>
      </c>
      <c r="K257" s="12">
        <v>4.3900000000000002E-2</v>
      </c>
    </row>
    <row r="258" spans="1:11" x14ac:dyDescent="0.55000000000000004">
      <c r="A258" s="1">
        <v>213</v>
      </c>
      <c r="B258">
        <v>43</v>
      </c>
      <c r="C258" s="5">
        <v>45191</v>
      </c>
      <c r="E258">
        <v>55.2</v>
      </c>
      <c r="F258" s="6">
        <v>0.10682300783564275</v>
      </c>
      <c r="G258" s="6">
        <v>0.1067040499903107</v>
      </c>
      <c r="I258" s="6">
        <f t="shared" si="4"/>
        <v>1.0011148390838289</v>
      </c>
      <c r="K258" s="12">
        <v>3.5799999999999998E-2</v>
      </c>
    </row>
    <row r="259" spans="1:11" x14ac:dyDescent="0.55000000000000004">
      <c r="B259"/>
      <c r="C259" s="5"/>
      <c r="E259"/>
      <c r="K259" s="12"/>
    </row>
    <row r="260" spans="1:11" x14ac:dyDescent="0.55000000000000004">
      <c r="A260" s="1">
        <v>214</v>
      </c>
      <c r="B260">
        <v>44</v>
      </c>
      <c r="C260" s="5">
        <v>45191</v>
      </c>
      <c r="E260">
        <v>3</v>
      </c>
      <c r="F260" s="6">
        <v>0.26641400749371141</v>
      </c>
      <c r="G260" s="6">
        <v>8.8258054657872287E-2</v>
      </c>
      <c r="I260" s="6">
        <f t="shared" si="4"/>
        <v>3.018580100439006</v>
      </c>
      <c r="K260" s="12">
        <v>2.9399999999999999E-2</v>
      </c>
    </row>
    <row r="261" spans="1:11" x14ac:dyDescent="0.55000000000000004">
      <c r="A261" s="1">
        <v>215</v>
      </c>
      <c r="B261">
        <v>44</v>
      </c>
      <c r="C261" s="5">
        <v>45191</v>
      </c>
      <c r="E261">
        <v>10</v>
      </c>
      <c r="F261" s="6">
        <v>0.25483078977659346</v>
      </c>
      <c r="G261" s="6">
        <v>0.10104763993332898</v>
      </c>
      <c r="I261" s="6">
        <f t="shared" si="4"/>
        <v>2.5218875962341158</v>
      </c>
      <c r="K261" s="12">
        <v>3.4200000000000001E-2</v>
      </c>
    </row>
    <row r="262" spans="1:11" x14ac:dyDescent="0.55000000000000004">
      <c r="A262" s="1">
        <v>216</v>
      </c>
      <c r="B262">
        <v>44</v>
      </c>
      <c r="C262" s="5">
        <v>45191</v>
      </c>
      <c r="E262">
        <v>20</v>
      </c>
      <c r="F262" s="6">
        <v>0.24582162044105735</v>
      </c>
      <c r="G262" s="6">
        <v>0.13659689555231691</v>
      </c>
      <c r="I262" s="6">
        <f t="shared" si="4"/>
        <v>1.7996135230387218</v>
      </c>
      <c r="K262" s="12">
        <v>4.1500000000000002E-2</v>
      </c>
    </row>
    <row r="263" spans="1:11" x14ac:dyDescent="0.55000000000000004">
      <c r="A263" s="1">
        <v>217</v>
      </c>
      <c r="B263">
        <v>44</v>
      </c>
      <c r="C263" s="5">
        <v>45191</v>
      </c>
      <c r="E263">
        <v>30</v>
      </c>
      <c r="F263" s="6">
        <v>0.16473909642123213</v>
      </c>
      <c r="G263" s="6">
        <v>0.19717117108038393</v>
      </c>
      <c r="I263" s="6">
        <f t="shared" si="4"/>
        <v>0.83551310020910874</v>
      </c>
      <c r="K263" s="12">
        <v>3.9100000000000003E-2</v>
      </c>
    </row>
    <row r="264" spans="1:11" x14ac:dyDescent="0.55000000000000004">
      <c r="A264" s="1">
        <v>218</v>
      </c>
      <c r="B264">
        <v>44</v>
      </c>
      <c r="C264" s="5">
        <v>45191</v>
      </c>
      <c r="E264">
        <v>40</v>
      </c>
      <c r="F264" s="6">
        <v>0.19176660442784055</v>
      </c>
      <c r="G264" s="6">
        <v>0.1218889607402267</v>
      </c>
      <c r="I264" s="6">
        <f t="shared" si="4"/>
        <v>1.573289355026491</v>
      </c>
      <c r="K264" s="12">
        <v>4.24E-2</v>
      </c>
    </row>
    <row r="265" spans="1:11" x14ac:dyDescent="0.55000000000000004">
      <c r="A265" s="1">
        <v>219</v>
      </c>
      <c r="B265">
        <v>44</v>
      </c>
      <c r="C265" s="5">
        <v>45191</v>
      </c>
      <c r="E265">
        <v>55</v>
      </c>
      <c r="F265" s="6">
        <v>0.14800778194095077</v>
      </c>
      <c r="G265" s="6">
        <v>5.4661967859954183E-2</v>
      </c>
      <c r="I265" s="6">
        <f t="shared" si="4"/>
        <v>2.707692162129101</v>
      </c>
      <c r="K265" s="12">
        <v>3.8800000000000001E-2</v>
      </c>
    </row>
    <row r="266" spans="1:11" x14ac:dyDescent="0.55000000000000004">
      <c r="B266"/>
      <c r="C266" s="5"/>
      <c r="E266"/>
      <c r="K266" s="12"/>
    </row>
    <row r="267" spans="1:11" x14ac:dyDescent="0.55000000000000004">
      <c r="A267" s="1">
        <v>220</v>
      </c>
      <c r="B267">
        <v>45</v>
      </c>
      <c r="C267" s="5">
        <v>45191</v>
      </c>
      <c r="E267">
        <v>2</v>
      </c>
      <c r="F267" s="6">
        <v>0.1389986126054146</v>
      </c>
      <c r="G267" s="6">
        <v>0.14449776360418459</v>
      </c>
      <c r="I267" s="6">
        <f t="shared" si="4"/>
        <v>0.96194300270394817</v>
      </c>
      <c r="K267" s="12">
        <v>4.1599999999999998E-2</v>
      </c>
    </row>
    <row r="268" spans="1:11" x14ac:dyDescent="0.55000000000000004">
      <c r="A268" s="1">
        <v>221</v>
      </c>
      <c r="B268">
        <v>45</v>
      </c>
      <c r="C268" s="5">
        <v>45191</v>
      </c>
      <c r="E268">
        <v>10</v>
      </c>
      <c r="F268" s="6">
        <v>0.19948874957258586</v>
      </c>
      <c r="G268" s="6">
        <v>0.14070690187893317</v>
      </c>
      <c r="I268" s="6">
        <f t="shared" si="4"/>
        <v>1.4177609407122735</v>
      </c>
      <c r="K268" s="12">
        <v>4.07E-2</v>
      </c>
    </row>
    <row r="269" spans="1:11" x14ac:dyDescent="0.55000000000000004">
      <c r="A269" s="1">
        <v>222</v>
      </c>
      <c r="B269">
        <v>45</v>
      </c>
      <c r="C269" s="5">
        <v>45191</v>
      </c>
      <c r="E269">
        <v>20</v>
      </c>
      <c r="F269" s="6">
        <v>0.25354376558580266</v>
      </c>
      <c r="G269" s="6">
        <v>0.21090774437460455</v>
      </c>
      <c r="I269" s="6">
        <f t="shared" si="4"/>
        <v>1.2021548394897723</v>
      </c>
      <c r="K269" s="12">
        <v>5.5599999999999997E-2</v>
      </c>
    </row>
    <row r="270" spans="1:11" x14ac:dyDescent="0.55000000000000004">
      <c r="A270" s="1">
        <v>223</v>
      </c>
      <c r="B270">
        <v>45</v>
      </c>
      <c r="C270" s="5">
        <v>45191</v>
      </c>
      <c r="E270">
        <v>30</v>
      </c>
      <c r="F270" s="6">
        <v>0.21879411243444896</v>
      </c>
      <c r="G270" s="6">
        <v>0.15517983065055424</v>
      </c>
      <c r="I270" s="6">
        <f t="shared" si="4"/>
        <v>1.4099391107543235</v>
      </c>
      <c r="K270" s="12">
        <v>4.1700000000000001E-2</v>
      </c>
    </row>
    <row r="271" spans="1:11" x14ac:dyDescent="0.55000000000000004">
      <c r="A271" s="1">
        <v>224</v>
      </c>
      <c r="B271">
        <v>45</v>
      </c>
      <c r="C271" s="5">
        <v>45191</v>
      </c>
      <c r="E271">
        <v>40</v>
      </c>
      <c r="F271" s="6">
        <v>0.19948874957258583</v>
      </c>
      <c r="G271" s="6">
        <v>8.8833096870368236E-2</v>
      </c>
      <c r="I271" s="6">
        <f t="shared" si="4"/>
        <v>2.245657942823883</v>
      </c>
      <c r="K271" s="12">
        <v>4.5900000000000003E-2</v>
      </c>
    </row>
    <row r="272" spans="1:11" x14ac:dyDescent="0.55000000000000004">
      <c r="A272" s="1">
        <v>225</v>
      </c>
      <c r="B272">
        <v>45</v>
      </c>
      <c r="C272" s="5">
        <v>45191</v>
      </c>
      <c r="E272">
        <v>55</v>
      </c>
      <c r="F272" s="6">
        <v>0.10553598364485185</v>
      </c>
      <c r="G272" s="6">
        <v>4.5259961147488169E-2</v>
      </c>
      <c r="I272" s="6">
        <f t="shared" si="4"/>
        <v>2.3317736243949221</v>
      </c>
      <c r="K272" s="12">
        <v>3.1E-2</v>
      </c>
    </row>
  </sheetData>
  <mergeCells count="1">
    <mergeCell ref="K1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From Dean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L W</cp:lastModifiedBy>
  <dcterms:created xsi:type="dcterms:W3CDTF">2025-02-21T21:11:28Z</dcterms:created>
  <dcterms:modified xsi:type="dcterms:W3CDTF">2025-02-24T23:02:41Z</dcterms:modified>
</cp:coreProperties>
</file>